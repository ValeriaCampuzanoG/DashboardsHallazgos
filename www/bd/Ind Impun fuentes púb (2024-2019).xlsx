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entes" sheetId="1" r:id="rId4"/>
    <sheet state="visible" name="idei_serie" sheetId="2" r:id="rId5"/>
    <sheet state="visible" name="idei_historico" sheetId="3" r:id="rId6"/>
    <sheet state="visible" name="rankings" sheetId="4" r:id="rId7"/>
    <sheet state="visible" name="ranking2" sheetId="5" r:id="rId8"/>
    <sheet state="visible" name="idei_censos2025" sheetId="6" r:id="rId9"/>
    <sheet state="visible" name="idei_censos2024" sheetId="7" r:id="rId10"/>
    <sheet state="visible" name="idei_censos2023" sheetId="8" r:id="rId11"/>
    <sheet state="visible" name="idei_censos2022" sheetId="9" r:id="rId12"/>
    <sheet state="visible" name="idei_censos2021" sheetId="10" r:id="rId13"/>
    <sheet state="visible" name="idei_censos2020" sheetId="11" r:id="rId14"/>
  </sheets>
  <definedNames>
    <definedName hidden="1" localSheetId="3" name="_xlnm._FilterDatabase">rankings!$A$1:$D$33</definedName>
    <definedName hidden="1" localSheetId="4" name="_xlnm._FilterDatabase">ranking2!$A$1:$D$33</definedName>
    <definedName hidden="1" localSheetId="6" name="_xlnm._FilterDatabase">idei_censos2024!$C$3:$S$38</definedName>
  </definedNames>
  <calcPr/>
  <extLst>
    <ext uri="GoogleSheetsCustomDataVersion2">
      <go:sheetsCustomData xmlns:go="http://customooxmlschemas.google.com/" r:id="rId15" roundtripDataChecksum="HeGaewXsaTWWZFMTnlCoAtp5zdocEWi51PIg3Uu7m6c="/>
    </ext>
  </extLst>
</workbook>
</file>

<file path=xl/sharedStrings.xml><?xml version="1.0" encoding="utf-8"?>
<sst xmlns="http://schemas.openxmlformats.org/spreadsheetml/2006/main" count="1494" uniqueCount="296">
  <si>
    <t>Versión de la índice de Impunidad</t>
  </si>
  <si>
    <t>Fuente</t>
  </si>
  <si>
    <t xml:space="preserve">Link </t>
  </si>
  <si>
    <t>Tubería 2024</t>
  </si>
  <si>
    <t>Censo Estatal de Impartición de Justicia 2024</t>
  </si>
  <si>
    <t>Censo Nacional de Impartición de Justicia Estatal (CNIJE) 2024</t>
  </si>
  <si>
    <t>Censo Estatal de Procuración de Justicia 2024</t>
  </si>
  <si>
    <t>Censo Nacional de Procuración de Justicia Estatal (CNPJE) 2024</t>
  </si>
  <si>
    <t>Censo Estatal de Procuración de Justicia 2023</t>
  </si>
  <si>
    <t>Censo Nacional de Procuración de Justicia Estatal (CNPJE) 2023</t>
  </si>
  <si>
    <t>Tubería 2023</t>
  </si>
  <si>
    <t>Censo Estatal de Impartición de Justicia 2023</t>
  </si>
  <si>
    <t>Censo Nacional de Impartición de Justicia Estatal (CNIJE) 2023</t>
  </si>
  <si>
    <t>Censo Estatal de Procuración de Justicia 2022</t>
  </si>
  <si>
    <t>Censo Nacional de Procuración de Justicia Estatal 2022</t>
  </si>
  <si>
    <t>Tubería 2022</t>
  </si>
  <si>
    <t>Censo Estatal de Impartición de Justicia 2022</t>
  </si>
  <si>
    <t>Censo Nacional de Impartición de Justicia Estatal (CNIJE) 2022</t>
  </si>
  <si>
    <t>Censo Estatal de Procuración de Justicia 2021</t>
  </si>
  <si>
    <t>Censo Nacional de Procuración de Justicia Estatal 2021</t>
  </si>
  <si>
    <t>Tubería 2021</t>
  </si>
  <si>
    <t>Censo Estatal de Impartición de Justicia 2021</t>
  </si>
  <si>
    <t>Censo Nacional de Impartición de Justicia Estatal 2021</t>
  </si>
  <si>
    <t>Censo Estatal de Procuración de Justicia 2020</t>
  </si>
  <si>
    <t>Censo Nacional de Procuración de Justicia Estatal 2020</t>
  </si>
  <si>
    <t>Tubería 2020</t>
  </si>
  <si>
    <t>Censo Estatal de Impartición de Justicia 2020</t>
  </si>
  <si>
    <t>Censo Nacional de Impartición de Justicia Estatal 2020</t>
  </si>
  <si>
    <t>Censo Estatal de Procuración de Justicia 2019</t>
  </si>
  <si>
    <t>Censo Nacional de Procuración de Justicia Estatal 2019</t>
  </si>
  <si>
    <t>AÑO</t>
  </si>
  <si>
    <t>edo</t>
  </si>
  <si>
    <t>año</t>
  </si>
  <si>
    <t>pct</t>
  </si>
  <si>
    <t>cve</t>
  </si>
  <si>
    <t>Entidad</t>
  </si>
  <si>
    <t>% de efectividad</t>
  </si>
  <si>
    <t xml:space="preserve">% de impunidad </t>
  </si>
  <si>
    <t>Nacional</t>
  </si>
  <si>
    <t>2020</t>
  </si>
  <si>
    <t>2021</t>
  </si>
  <si>
    <t>Federación</t>
  </si>
  <si>
    <t>2022</t>
  </si>
  <si>
    <t>Aguascalientes</t>
  </si>
  <si>
    <t>2023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</si>
  <si>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</si>
  <si>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</si>
  <si>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</si>
  <si>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</si>
  <si>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</si>
  <si>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</si>
  <si>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</si>
  <si>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</si>
  <si>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</si>
  <si>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</si>
  <si>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</si>
  <si>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</si>
  <si>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</si>
  <si>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</si>
  <si>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</si>
  <si>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</si>
  <si>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</si>
  <si>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</si>
  <si>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</si>
  <si>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</si>
  <si>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</si>
  <si>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</si>
  <si>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</si>
  <si>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</si>
  <si>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</si>
  <si>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</si>
  <si>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</si>
  <si>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</si>
  <si>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</si>
  <si>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</si>
  <si>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</si>
  <si>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entidad</t>
  </si>
  <si>
    <t>ano</t>
  </si>
  <si>
    <t>salidas_alternas</t>
  </si>
  <si>
    <t>sentencias</t>
  </si>
  <si>
    <t>casos_resolver</t>
  </si>
  <si>
    <t>desestimaciones</t>
  </si>
  <si>
    <t>pct_efectividad</t>
  </si>
  <si>
    <t>pct_impunidad</t>
  </si>
  <si>
    <t xml:space="preserve">ranking </t>
  </si>
  <si>
    <t>Coahuila</t>
  </si>
  <si>
    <t>Michoacán</t>
  </si>
  <si>
    <t>Veracruz</t>
  </si>
  <si>
    <t>ranking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</si>
  <si>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</si>
  <si>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</si>
  <si>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</si>
  <si>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</si>
  <si>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</si>
  <si>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</si>
  <si>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</si>
  <si>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</si>
  <si>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</si>
  <si>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</si>
  <si>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</si>
  <si>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</si>
  <si>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</si>
  <si>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</si>
  <si>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</si>
  <si>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</si>
  <si>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</si>
  <si>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</si>
  <si>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</si>
  <si>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</si>
  <si>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</si>
  <si>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</si>
  <si>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</si>
  <si>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</si>
  <si>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</si>
  <si>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</si>
  <si>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</si>
  <si>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Tabaco</t>
  </si>
  <si>
    <t>28</t>
  </si>
  <si>
    <t>29</t>
  </si>
  <si>
    <t>30</t>
  </si>
  <si>
    <t>31</t>
  </si>
  <si>
    <t>32</t>
  </si>
  <si>
    <t>indice</t>
  </si>
  <si>
    <t xml:space="preserve">Coahuila </t>
  </si>
  <si>
    <t xml:space="preserve">Veracruz </t>
  </si>
  <si>
    <t>cve_ent</t>
  </si>
  <si>
    <t>Soluciones y salidas alternas y anticipadas</t>
  </si>
  <si>
    <t>Sentencias</t>
  </si>
  <si>
    <t>Casos remitidos</t>
  </si>
  <si>
    <t>Desestimaciones por no ser un delito</t>
  </si>
  <si>
    <t>Fórmula</t>
  </si>
  <si>
    <t>MP Etapa Inicial</t>
  </si>
  <si>
    <t>MP Etapa Complementaria</t>
  </si>
  <si>
    <t>Jueces JO</t>
  </si>
  <si>
    <t>MP inicios y pendientes</t>
  </si>
  <si>
    <t>Sede ministerial</t>
  </si>
  <si>
    <t>Sede judicial</t>
  </si>
  <si>
    <t>Criterios de oportunidad
en los que se decretó
la extinción de la
acción penal</t>
  </si>
  <si>
    <t>Acuerdos reparatorios
aprobados por el Ministerio Público
en los que se decretó
la extinción de la
acción penal
(cumplidos)</t>
  </si>
  <si>
    <t>Acuerdos reparatorios
aprobados por la persona 
juzgadora de control o garantías 
(cumplidos)</t>
  </si>
  <si>
    <t>Suspensión
condicional
del proceso
(cumplidos)</t>
  </si>
  <si>
    <t>Procedimiento abreviado - Sentencia condenatoria</t>
  </si>
  <si>
    <t>Sentencia 
condenatoria</t>
  </si>
  <si>
    <t>Sentencia 
absolutoria</t>
  </si>
  <si>
    <t>Sentencia 
Mixta</t>
  </si>
  <si>
    <t>CII</t>
  </si>
  <si>
    <t>Pendientes 2024 (2023)</t>
  </si>
  <si>
    <t>Facultad de abstenerse
de investigar</t>
  </si>
  <si>
    <t>Incompetencia</t>
  </si>
  <si>
    <t>No ejercicio de la acción
penal por la actualización
de alguna causal
de sobreseimiento</t>
  </si>
  <si>
    <t>Acumulación</t>
  </si>
  <si>
    <t>Total de soluciones y salidas alternas</t>
  </si>
  <si>
    <t>Total de sentencias</t>
  </si>
  <si>
    <t>Total de casos por resolver</t>
  </si>
  <si>
    <t>Total de desestimaciones</t>
  </si>
  <si>
    <t>% EFECTIVIDAD</t>
  </si>
  <si>
    <t>% IMPUNIDAD</t>
  </si>
  <si>
    <t>Numerador</t>
  </si>
  <si>
    <t>Denominador</t>
  </si>
  <si>
    <t>% efectividad</t>
  </si>
  <si>
    <t>% impunidad</t>
  </si>
  <si>
    <t>Criterios de oportunidad</t>
  </si>
  <si>
    <t>Otra conclusión</t>
  </si>
  <si>
    <t>Acuerdo reparatorio SEDE MINISTERIAL</t>
  </si>
  <si>
    <t>Acuerdo reparatorio SEDE JUDICIAL</t>
  </si>
  <si>
    <t>Suspensión Condicional del Proceso</t>
  </si>
  <si>
    <t>Sentencia JO</t>
  </si>
  <si>
    <t>Existencia anterior</t>
  </si>
  <si>
    <t>Facultad de abstenerse de investigar</t>
  </si>
  <si>
    <t>No Ejercicio de la Acción Penal</t>
  </si>
  <si>
    <t>Sobreseimiento (Juez de Control)</t>
  </si>
  <si>
    <t>Sobreseimientos</t>
  </si>
  <si>
    <t>Prescripción en Tribunales de control o garantías</t>
  </si>
  <si>
    <t>INEGI. Censo Nacional de Procuración de Justicia Estatal 2025. Tabulados básicos. 4. Columna I</t>
  </si>
  <si>
    <t>INEGI. Censo Nacional de Procuración de Justicia Estatal 2025. Tabulados básicos. 4. Columna L</t>
  </si>
  <si>
    <t>INEGI. Censo Nacional de Procuración de Justicia Estatal 2025. Tabulados básicos. 5. Columna L</t>
  </si>
  <si>
    <t>INEGI. Censo Nacional de Impartición de Justicia Estatal 2025. Tabulados básicos. 6. Columna AF</t>
  </si>
  <si>
    <t>INEGI. Censo Nacional de Impartición de Justicia Estatal 2025. Tabulados básicos. 6. Columna E</t>
  </si>
  <si>
    <t>INEGI. Censo Nacional de Impartición de Justicia Estatal 2025. Tabulados básicos. 7. Columna E</t>
  </si>
  <si>
    <t>INEGI. Censo Nacional de Impartición de Justicia Estatal 2025. Tabulados básicos. 7. Columna H</t>
  </si>
  <si>
    <t>INEGI. Censo Nacional de Impartición de Justicia Estatal 2025. Tabulados básicos. 7. Columna K</t>
  </si>
  <si>
    <t>INEGI. Censo Nacional de Procuración de Justicia Estatal 2025. Tabulados básicos. 1. Columna M</t>
  </si>
  <si>
    <t>INEGI. Censo Nacional de Procuración de Justicia Estatal 2024. Tabulados básicos. 1. Columna AW</t>
  </si>
  <si>
    <t>INEGI. Censo Nacional de Procuración de Justicia Estatal 2025. Tabulados básicos. 4. Columna F</t>
  </si>
  <si>
    <t>INEGI. Censo Nacional de Procuración de Justicia Estatal 2025. Tabulados básicos. 4. Columna X</t>
  </si>
  <si>
    <t>INEGI. Censo Nacional de Procuración de Justicia Estatal 2025. Tabulados básicos. 9. Columna R</t>
  </si>
  <si>
    <t>INEGI. Censo Nacional de Procuración de Justicia Estatal 2025. Tabulados básicos. 4. Columna AD</t>
  </si>
  <si>
    <t>INEGI. Censo Nacional de Procuración de Justicia Estatal 2025. Tabulados básicos. 5. Columna I</t>
  </si>
  <si>
    <t>INEGI. Censo Nacional de Procuración de Justicia Estatal 2025. Tabulados básicos. 10. Columna AJ</t>
  </si>
  <si>
    <t>R11/Determinaciones</t>
  </si>
  <si>
    <t>R11/Derivados OEMASC</t>
  </si>
  <si>
    <t>R11/Vinculados a proceso/OEMASC</t>
  </si>
  <si>
    <t>R11/SPCumplidas</t>
  </si>
  <si>
    <t>R11/PA Resuelto</t>
  </si>
  <si>
    <t>R11/JO Resuelto</t>
  </si>
  <si>
    <t>Derivados + Determinados</t>
  </si>
  <si>
    <t>MES 2022</t>
  </si>
  <si>
    <t>R11/Determinaciones/Abstenerse a investigar</t>
  </si>
  <si>
    <t>R11/Determinaciones/INC</t>
  </si>
  <si>
    <t>R11/Determinaciones/EAP</t>
  </si>
  <si>
    <t>R11/Sobreseimiento/Juez Control</t>
  </si>
  <si>
    <t>R11/Vinculados a proceso/Sobreseimiento</t>
  </si>
  <si>
    <t>R11/Otra/Prescripción de la acción penal</t>
  </si>
  <si>
    <t>Fedaración</t>
  </si>
  <si>
    <t>-</t>
  </si>
  <si>
    <t>ND</t>
  </si>
  <si>
    <t>Criterios de oportunidad en los que se decretó la extinción de la acción penal</t>
  </si>
  <si>
    <t>Acuerdos reparatorios aprobados por el Ministerio Público en los que se decretó la extinción de la acción penal (cumplidos)</t>
  </si>
  <si>
    <t>Acuerdos reparatorios aprobados por la persona juzgadora de control o garantías (cumplidos)</t>
  </si>
  <si>
    <t>Suspensión condicional del proceso (cumplidos)</t>
  </si>
  <si>
    <t>Sentencia condenatoria</t>
  </si>
  <si>
    <t>Sentencia absolutoria</t>
  </si>
  <si>
    <t>Sentencia Mixta</t>
  </si>
  <si>
    <t>Pendientes 2023 (2022)</t>
  </si>
  <si>
    <t>No ejercicio de la acción penal por la actualización de alguna causal de sobreseimiento</t>
  </si>
  <si>
    <t>INEGI. Censo Nacional de Procuración de Justicia Estatal 2024. Tabulados básicos. 9. Columna K.</t>
  </si>
  <si>
    <t>INEGI. Censo Nacional de Procuración de Justicia Estatal 2024. Tabulados básicos. 9. Columna O.</t>
  </si>
  <si>
    <t>INEGI. Censo Nacional de Procuración de Justicia Estatal 2024. Tabulados básicos. 10. Columna O.</t>
  </si>
  <si>
    <t>INEGI. Censo Nacional de Impartición de Justicia Estatal 2024. Tabulados básicos. 4. Columna F.</t>
  </si>
  <si>
    <t>INEGI. Censo Nacional de Impartición de Justicia Estatal 2024. Tabulados básicos. 4. Columna J.</t>
  </si>
  <si>
    <t>INEGI. Censo Nacional de Impartición de Justicia Estatal 2024. Tabulados básicos. 4. Columna L.</t>
  </si>
  <si>
    <t>INEGI. Censo Nacional de Procuración de Justicia Estatal 2024. Tabulados básicos. 6. Columna M.</t>
  </si>
  <si>
    <t>INEGI. Censo Nacional de Procuración de Justicia Estatal 2023. Tabulados básicos. 1. Columna AW.</t>
  </si>
  <si>
    <t>INEGI. Censo Nacional de Procuración de Justicia Estatal 2024. Tabulados básicos. 9. Columna G.</t>
  </si>
  <si>
    <t>INEGI. Censo Nacional de Procuración de Justicia Estatal 2024. Tabulados básicos. 9. Columna AE.</t>
  </si>
  <si>
    <t>INEGI. Censo Nacional de Procuración de Justicia Estatal 2024. Tabulados básicos. 9. Columna W.</t>
  </si>
  <si>
    <t>INEGI. Censo Nacional de Procuración de Justicia Estatal 2024. Tabulados básicos. 9. Columna AM.</t>
  </si>
  <si>
    <t>INEGI. Censo Nacional de Procuración de Justicia Estatal 2024. Tabulados básicos. 10. Columna K.</t>
  </si>
  <si>
    <t>INEGI. Censo Nacional de Procuración de Justicia Estatal 2024. Tabulados básicos. 10. Columna AU.</t>
  </si>
  <si>
    <t>NA</t>
  </si>
  <si>
    <t>Pendientes 2022 (2021)</t>
  </si>
  <si>
    <t>INEGI. Censo Nacional de Procuración de Justicia Estatal 2023. Tabulados básicos. 4. Columna I</t>
  </si>
  <si>
    <t>INEGI. Censo Nacional de Procuración de Justicia Estatal 2023. Tabulados básicos. 4. Columna L</t>
  </si>
  <si>
    <t>INEGI. Censo Nacional de Procuración de Justicia Estatal 2023. Tabulados básicos. 5. Columna L</t>
  </si>
  <si>
    <t>INEGI. Censo Nacional de Procuración de Justicia Estatal 2023. Tabulados básicos. 5. Columna U</t>
  </si>
  <si>
    <t>INEGI. Censo Nacional de Impartición de Justicia Estatal 2023. Tabulados básicos. 6. Columna AF</t>
  </si>
  <si>
    <t>INEGI. Censo Nacional de Impartición de Justicia Estatal 2023. Tabulados básicos. 6. Columna E</t>
  </si>
  <si>
    <t>INEGI. Censo Nacional de Impartición de Justicia Estatal 2023. Tabulados básicos. 7. Columna E</t>
  </si>
  <si>
    <t>INEGI. Censo Nacional de Impartición de Justicia Estatal 2023. Tabulados básicos. 7. Columna H</t>
  </si>
  <si>
    <t>INEGI. Censo Nacional de Impartición de Justicia Estatal 2023. Tabulados básicos. 7. Columna K</t>
  </si>
  <si>
    <t>INEGI. Censo Nacional de Procuración de Justicia Estatal 2023. Tabulados básicos. 1. Columna M</t>
  </si>
  <si>
    <t>INEGI. Censo Nacional de Procuración de Justicia Estatal 2022. Tabulados básicos. 1. Columna AW</t>
  </si>
  <si>
    <t>INEGI. Censo Nacional de Procuración de Justicia Estatal 2023. Tabulados básicos. 4. Columna F</t>
  </si>
  <si>
    <t>INEGI. Censo Nacional de Procuración de Justicia Estatal 2023. Tabulados básicos. 4. Columna X</t>
  </si>
  <si>
    <t>INEGI. Censo Nacional de Procuración de Justicia Estatal 2023. Tabulados básicos. 9. Columna R</t>
  </si>
  <si>
    <t>INEGI. Censo Nacional de Procuración de Justicia Estatal 2023. Tabulados básicos. 4. Columna AD</t>
  </si>
  <si>
    <t>INEGI. Censo Nacional de Procuración de Justicia Estatal 2023. Tabulados básicos. 5. Columna I</t>
  </si>
  <si>
    <t>INEGI. Censo Nacional de Procuración de Justicia Estatal 2023. Tabulados básicos. 10. Columna AJ</t>
  </si>
  <si>
    <t xml:space="preserve">- </t>
  </si>
  <si>
    <t>Pendientes 2021 (2020)</t>
  </si>
  <si>
    <t>INEGI. Censo Nacional de Procuración de Justicia Estatal 2022. Tabulados básicos. 4. Columna I</t>
  </si>
  <si>
    <t>INEGI. Censo Nacional de Procuración de Justicia Estatal 2022. Tabulados básicos. 4. Columna L</t>
  </si>
  <si>
    <t>INEGI. Censo Nacional de Procuración de Justicia Estatal 2022. Tabulados básicos. 5. Columna L</t>
  </si>
  <si>
    <t>INEGI. Censo Nacional de Procuración de Justicia Estatal 2022. Tabulados básicos. 5. Columna U</t>
  </si>
  <si>
    <t>INEGI. Censo Nacional de Impartición de Justicia Estatal 2022. Tabulados básicos. 6. Columna E</t>
  </si>
  <si>
    <t>INEGI. Censo Nacional de Impartición de Justicia Estatal 2022. Tabulados básicos. 7. Columna E</t>
  </si>
  <si>
    <t>INEGI. Censo Nacional de Impartición de Justicia Estatal 2022. Tabulados básicos. 7. Columna K</t>
  </si>
  <si>
    <t>INEGI. Censo Nacional de Procuración de Justicia Estatal 2022. Tabulados básicos. 1. Columna M</t>
  </si>
  <si>
    <t xml:space="preserve">INEGI. Censo Nacional de Procuración de Justicia Estatal 2021. Tabulados básicos. 1. Columna </t>
  </si>
  <si>
    <t>INEGI. Censo Nacional de Procuración de Justicia Estatal 2022. Tabulados básicos. 4. Columna F</t>
  </si>
  <si>
    <t>INEGI. Censo Nacional de Procuración de Justicia Estatal 2022. Tabulados básicos. 4. Columna X</t>
  </si>
  <si>
    <t>INEGI. Censo Nacional de Procuración de Justicia Estatal 2022. Tabulados básicos. 4. Columna R</t>
  </si>
  <si>
    <t>INEGI. Censo Nacional de Procuración de Justicia Estatal 2022. Tabulados básicos. 4. Columna AD</t>
  </si>
  <si>
    <t>INEGI. Censo Nacional de Procuración de Justicia Estatal 2022. Tabulados básicos. 5. Columna
 I</t>
  </si>
  <si>
    <t>INEGI. Censo Nacional de Procuración de Justicia Estatal 2022. Tabulados básicos. 5. Columna AG</t>
  </si>
  <si>
    <t>Pendientes 2020 (2019)</t>
  </si>
  <si>
    <t>INEGI. Censo Nacional de Procuración de Justicia Estatal 2021. Tabulados básicos. 4. Columna H</t>
  </si>
  <si>
    <t>INEGI. Censo Nacional de Procuración de Justicia Estatal 2021. Tabulados básicos. 4. Columna K</t>
  </si>
  <si>
    <t>INEGI. Censo Nacional de Procuración de Justicia Estatal 2021. Tabulados básicos. 5. Columna K</t>
  </si>
  <si>
    <t>INEGI. Censo Nacional de Procuración de Justicia Estatal 2021. Tabulados básicos. 5. Columna T</t>
  </si>
  <si>
    <t>INEGI. Censo Nacional de Impartición de Justicia Estatal 2021. Tabulados básicos. 7. Columna Z</t>
  </si>
  <si>
    <t>INEGI. Censo Nacional de Impartición de Justicia Estatal 2021. Tabulados básicos. 7. Columna E</t>
  </si>
  <si>
    <t>INEGI. Censo Nacional de Impartición de Justicia Estatal 2021. Tabulados básicos. 8. Columna E</t>
  </si>
  <si>
    <t>INEGI. Censo Nacional de Impartición de Justicia Estatal 2021. Tabulados básicos. 8. Columna H</t>
  </si>
  <si>
    <t>INEGI. Censo Nacional de Impartición de Justicia Estatal 2021. Tabulados básicos. 8. Columna K</t>
  </si>
  <si>
    <t>INEGI. Censo Nacional de Procuración de Justicia Estatal 2021. Tabulados básicos. 1. Columna L</t>
  </si>
  <si>
    <t>INEGI. Censo Nacional de Procuración de Justicia Estatal 2020. Tabulados básicos. 1. Columna AV</t>
  </si>
  <si>
    <t>INEGI. Censo Nacional de Procuración de Justicia Estatal 2021. Tabulados básicos. 4. Columna E</t>
  </si>
  <si>
    <t>INEGI. Censo Nacional de Procuración de Justicia Estatal 2021. Tabulados básicos. 4. Columna W</t>
  </si>
  <si>
    <t>INEGI. Censo Nacional de Procuración de Justicia Estatal 2021. Tabulados básicos. 4. Columna Q</t>
  </si>
  <si>
    <t>La edición de este censo no recaba este dato</t>
  </si>
  <si>
    <t>INEGI. Censo Nacional de Procuración de Justicia Estatal 2021. Tabulados básicos. 5. Columna H</t>
  </si>
  <si>
    <t>Pendientes 2019 (2018)</t>
  </si>
  <si>
    <t>INEGI. Censo Nacional de Procuración de Justicia Estatal 2020. Tabulados básicos. 3. Columna H</t>
  </si>
  <si>
    <t>INEGI. Censo Nacional de Procuración de Justicia Estatal 2020. Tabulados básicos. 3. Columna K</t>
  </si>
  <si>
    <t>INEGI. Censo Nacional de Procuración de Justicia Estatal 2020. Tabulados básicos. 4. Columna K</t>
  </si>
  <si>
    <t>INEGI. Censo Nacional de Impartición de Justicia Estatal 2020. Tabulados básicos. 8. Columna E</t>
  </si>
  <si>
    <t>INEGI. Censo Nacional de Impartición de Justicia Estatal 2020. Tabulados básicos. 7. Columna K</t>
  </si>
  <si>
    <t>INEGI. Censo Nacional de Impartición de Justicia Estatal 2020. Tabulados básicos. 8. Columna H</t>
  </si>
  <si>
    <t>INEGI. Censo Nacional de Impartición de Justicia Estatal 2020. Tabulados básicos. 8. Columna K</t>
  </si>
  <si>
    <t xml:space="preserve">INEGI. Censo Nacional de Procuración de Justicia Estatal 2020. Tabulados básicos. 1. </t>
  </si>
  <si>
    <t xml:space="preserve">INEGI. Censo Nacional de Procuración de Justicia Estatal 2019. Tabulados básicos. 2.1. Columna L </t>
  </si>
  <si>
    <t>INEGI. Censo Nacional de Procuración de Justicia Estatal 2020. Tabulados básicos. 3. Columna E</t>
  </si>
  <si>
    <t>INEGI. Censo Nacional de Procuración de Justicia Estatal 2020. Tabulados básicos. 3. Columna Q</t>
  </si>
  <si>
    <t>INEGI. Censo Nacional de Procuración de Justicia Estatal 2020. Tabulados básicos. 4. Columna H</t>
  </si>
  <si>
    <t>S/R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</si>
</sst>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"/>
    <numFmt numFmtId="165" formatCode="#\ ###\ ##0"/>
  </numFmts>
  <fonts count="38">
    <font>
      <sz val="10.0"/>
      <color rgb="FF000000"/>
      <name val="Arial"/>
      <scheme val="minor"/>
    </font>
    <font>
      <b/>
      <sz val="14.0"/>
      <color theme="1"/>
      <name val="Montserrat"/>
    </font>
    <font>
      <sz val="14.0"/>
      <color theme="1"/>
      <name val="Montserrat"/>
    </font>
    <font>
      <u/>
      <sz val="14.0"/>
      <color rgb="FF0000FF"/>
      <name val="Montserrat"/>
    </font>
    <font/>
    <font>
      <color theme="1"/>
      <name val="Montserrat"/>
    </font>
    <font>
      <color rgb="FFFFFFFF"/>
      <name val="Montserrat"/>
    </font>
    <font>
      <sz val="12.0"/>
      <color theme="1"/>
      <name val="Montserrat"/>
    </font>
    <font>
      <color rgb="FF000000"/>
      <name val="Montserrat"/>
    </font>
    <font>
      <sz val="9.0"/>
      <color rgb="FF000000"/>
      <name val="Montserrat"/>
    </font>
    <font>
      <b/>
      <sz val="9.0"/>
      <color theme="1"/>
      <name val="Montserrat"/>
    </font>
    <font>
      <sz val="9.0"/>
      <color theme="1"/>
      <name val="Montserrat"/>
    </font>
    <font>
      <sz val="9.0"/>
      <color rgb="FFFFFFFF"/>
      <name val="Montserrat"/>
    </font>
    <font>
      <color theme="1"/>
      <name val="Arial"/>
      <scheme val="minor"/>
    </font>
    <font>
      <sz val="9.0"/>
      <color theme="1"/>
      <name val="Century Gothic"/>
    </font>
    <font>
      <color theme="1"/>
      <name val="Century Gothic"/>
    </font>
    <font>
      <b/>
      <i/>
      <sz val="9.0"/>
      <color theme="1"/>
      <name val="Century Gothic"/>
    </font>
    <font>
      <b/>
      <sz val="9.0"/>
      <color rgb="FFFFFFFF"/>
      <name val="Century Gothic"/>
    </font>
    <font>
      <b/>
      <i/>
      <sz val="10.0"/>
      <color theme="1"/>
      <name val="Century Gothic"/>
    </font>
    <font>
      <sz val="11.0"/>
      <color theme="1"/>
      <name val="Century Gothic"/>
    </font>
    <font>
      <b/>
      <sz val="10.0"/>
      <color rgb="FFFFFFFF"/>
      <name val="Century Gothic"/>
    </font>
    <font>
      <b/>
      <sz val="9.0"/>
      <color theme="1"/>
      <name val="Century Gothic"/>
    </font>
    <font>
      <b/>
      <i/>
      <sz val="9.0"/>
      <color rgb="FFFFFFFF"/>
      <name val="Century Gothic"/>
    </font>
    <font>
      <b/>
      <sz val="10.0"/>
      <color theme="1"/>
      <name val="Century Gothic"/>
    </font>
    <font>
      <b/>
      <i/>
      <sz val="10.0"/>
      <color rgb="FFFFFFFF"/>
      <name val="Century Gothic"/>
    </font>
    <font>
      <sz val="10.0"/>
      <color theme="1"/>
      <name val="Century Gothic"/>
    </font>
    <font>
      <sz val="11.0"/>
      <color theme="1"/>
      <name val="Arial"/>
    </font>
    <font>
      <b/>
      <sz val="10.0"/>
      <color rgb="FF0000FF"/>
      <name val="Century Gothic"/>
    </font>
    <font>
      <sz val="7.0"/>
      <color theme="1"/>
      <name val="Arial"/>
    </font>
    <font>
      <sz val="10.0"/>
      <color rgb="FF000000"/>
      <name val="Century Gothic"/>
    </font>
    <font>
      <b/>
      <sz val="11.0"/>
      <color theme="1"/>
      <name val="Century Gothic"/>
    </font>
    <font>
      <b/>
      <sz val="12.0"/>
      <color rgb="FFFFFFFF"/>
      <name val="Century Gothic"/>
    </font>
    <font>
      <sz val="9.0"/>
      <color theme="1"/>
      <name val="Arial"/>
    </font>
    <font>
      <b/>
      <sz val="11.0"/>
      <color theme="1"/>
      <name val="Calibri"/>
    </font>
    <font>
      <sz val="9.0"/>
      <color rgb="FF000000"/>
      <name val="Arial"/>
    </font>
    <font>
      <sz val="9.0"/>
      <color rgb="FF000000"/>
      <name val="Century Gothic"/>
    </font>
    <font>
      <sz val="7.0"/>
      <color theme="1"/>
      <name val="Century Gothic"/>
    </font>
    <font>
      <b/>
      <sz val="11.0"/>
      <color rgb="FFFFFFFF"/>
      <name val="Century Gothic"/>
    </font>
  </fonts>
  <fills count="20">
    <fill>
      <patternFill patternType="none"/>
    </fill>
    <fill>
      <patternFill patternType="lightGray"/>
    </fill>
    <fill>
      <patternFill patternType="solid">
        <fgColor rgb="FFB45F06"/>
        <bgColor rgb="FFB45F06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E36C33"/>
        <bgColor rgb="FFE36C33"/>
      </patternFill>
    </fill>
    <fill>
      <patternFill patternType="solid">
        <fgColor rgb="FF0A5D73"/>
        <bgColor rgb="FF0A5D73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</fills>
  <borders count="45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right style="thin">
        <color rgb="FF434343"/>
      </right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medium">
        <color rgb="FFFFFFFF"/>
      </left>
      <right style="medium">
        <color rgb="FFFFFFFF"/>
      </right>
      <top/>
      <bottom/>
    </border>
    <border>
      <left/>
      <right/>
      <top/>
      <bottom/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top/>
    </border>
    <border>
      <top/>
    </border>
    <border>
      <right/>
      <top/>
    </border>
    <border>
      <left/>
      <right/>
      <top/>
      <bottom style="medium">
        <color rgb="FFFFFFFF"/>
      </bottom>
    </border>
    <border>
      <left/>
      <right style="medium">
        <color rgb="FFFFFFFF"/>
      </right>
      <top/>
      <bottom style="medium">
        <color rgb="FFFFFFFF"/>
      </bottom>
    </border>
    <border>
      <left/>
      <bottom/>
    </border>
    <border>
      <bottom/>
    </border>
    <border>
      <right/>
      <bottom/>
    </border>
    <border>
      <right style="medium">
        <color rgb="FFFFFFFF"/>
      </right>
    </border>
    <border>
      <left/>
      <right style="medium">
        <color rgb="FFFFFFFF"/>
      </right>
      <top/>
      <bottom/>
    </border>
    <border>
      <top/>
      <bottom/>
    </border>
    <border>
      <left style="medium">
        <color rgb="FFFFFFFF"/>
      </left>
      <right style="thin">
        <color rgb="FFFFFFFF"/>
      </right>
      <top/>
      <bottom/>
    </border>
    <border>
      <right style="medium">
        <color rgb="FFFFFFFF"/>
      </right>
      <top/>
      <bottom/>
    </border>
    <border>
      <left/>
      <right style="medium">
        <color rgb="FFFFFFFF"/>
      </right>
      <top/>
      <bottom style="thin">
        <color rgb="FFE7E6E6"/>
      </bottom>
    </border>
    <border>
      <bottom style="thin">
        <color rgb="FFE7E6E6"/>
      </bottom>
    </border>
    <border>
      <left/>
      <top/>
      <bottom/>
    </border>
    <border>
      <left/>
      <right/>
      <top/>
      <bottom style="thin">
        <color rgb="FFE7E6E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FF000000"/>
      </bottom>
    </border>
    <border>
      <left/>
      <right/>
      <top/>
    </border>
    <border>
      <right/>
      <top/>
      <bottom/>
    </border>
    <border>
      <left/>
      <right/>
      <top style="thin">
        <color rgb="FF000000"/>
      </top>
      <bottom/>
    </border>
    <border>
      <top style="thin">
        <color rgb="FF000000"/>
      </top>
    </border>
    <border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top style="medium">
        <color rgb="FF000000"/>
      </top>
    </border>
    <border>
      <left/>
      <right style="medium">
        <color rgb="FFFFFFFF"/>
      </right>
      <top/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/>
      <right/>
      <bottom/>
    </border>
    <border>
      <right/>
      <top style="thin">
        <color rgb="FF000000"/>
      </top>
      <bottom/>
    </border>
    <border>
      <left/>
      <right/>
      <top/>
      <bottom style="hair">
        <color rgb="FF000000"/>
      </bottom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7" fillId="0" fontId="4" numFmtId="0" xfId="0" applyBorder="1" applyFont="1"/>
    <xf borderId="0" fillId="0" fontId="5" numFmtId="0" xfId="0" applyFont="1"/>
    <xf borderId="0" fillId="0" fontId="6" numFmtId="0" xfId="0" applyAlignment="1" applyFont="1">
      <alignment readingOrder="0"/>
    </xf>
    <xf borderId="0" fillId="0" fontId="6" numFmtId="49" xfId="0" applyAlignment="1" applyFont="1" applyNumberFormat="1">
      <alignment readingOrder="0"/>
    </xf>
    <xf borderId="5" fillId="0" fontId="7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0" fillId="0" fontId="6" numFmtId="10" xfId="0" applyFont="1" applyNumberFormat="1"/>
    <xf borderId="5" fillId="0" fontId="9" numFmtId="0" xfId="0" applyAlignment="1" applyBorder="1" applyFont="1">
      <alignment horizontal="center" readingOrder="0" shrinkToFit="0" wrapText="0"/>
    </xf>
    <xf borderId="5" fillId="0" fontId="10" numFmtId="0" xfId="0" applyAlignment="1" applyBorder="1" applyFont="1">
      <alignment horizontal="left" shrinkToFit="0" wrapText="1"/>
    </xf>
    <xf borderId="5" fillId="0" fontId="11" numFmtId="10" xfId="0" applyBorder="1" applyFont="1" applyNumberFormat="1"/>
    <xf borderId="5" fillId="2" fontId="12" numFmtId="10" xfId="0" applyBorder="1" applyFill="1" applyFont="1" applyNumberFormat="1"/>
    <xf borderId="5" fillId="0" fontId="10" numFmtId="0" xfId="0" applyAlignment="1" applyBorder="1" applyFont="1">
      <alignment horizontal="left" readingOrder="0" shrinkToFit="0" wrapText="1"/>
    </xf>
    <xf borderId="5" fillId="3" fontId="9" numFmtId="10" xfId="0" applyBorder="1" applyFill="1" applyFont="1" applyNumberFormat="1"/>
    <xf borderId="5" fillId="3" fontId="11" numFmtId="10" xfId="0" applyBorder="1" applyFont="1" applyNumberFormat="1"/>
    <xf borderId="5" fillId="4" fontId="9" numFmtId="10" xfId="0" applyBorder="1" applyFill="1" applyFont="1" applyNumberFormat="1"/>
    <xf borderId="5" fillId="0" fontId="11" numFmtId="0" xfId="0" applyAlignment="1" applyBorder="1" applyFont="1">
      <alignment horizontal="left"/>
    </xf>
    <xf borderId="5" fillId="4" fontId="11" numFmtId="10" xfId="0" applyBorder="1" applyFont="1" applyNumberFormat="1"/>
    <xf borderId="0" fillId="0" fontId="8" numFmtId="0" xfId="0" applyAlignment="1" applyFont="1">
      <alignment readingOrder="0"/>
    </xf>
    <xf borderId="0" fillId="0" fontId="6" numFmtId="10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8" numFmtId="0" xfId="0" applyFont="1"/>
    <xf borderId="0" fillId="0" fontId="8" numFmtId="10" xfId="0" applyFont="1" applyNumberFormat="1"/>
    <xf borderId="0" fillId="0" fontId="5" numFmtId="10" xfId="0" applyFont="1" applyNumberFormat="1"/>
    <xf borderId="8" fillId="0" fontId="5" numFmtId="0" xfId="0" applyBorder="1" applyFont="1"/>
    <xf borderId="8" fillId="0" fontId="13" numFmtId="0" xfId="0" applyBorder="1" applyFont="1"/>
    <xf borderId="0" fillId="0" fontId="13" numFmtId="0" xfId="0" applyAlignment="1" applyFont="1">
      <alignment readingOrder="0"/>
    </xf>
    <xf borderId="0" fillId="0" fontId="14" numFmtId="0" xfId="0" applyAlignment="1" applyFont="1">
      <alignment horizontal="left"/>
    </xf>
    <xf borderId="0" fillId="0" fontId="13" numFmtId="3" xfId="0" applyFont="1" applyNumberFormat="1"/>
    <xf borderId="0" fillId="0" fontId="13" numFmtId="164" xfId="0" applyFont="1" applyNumberFormat="1"/>
    <xf borderId="0" fillId="0" fontId="15" numFmtId="0" xfId="0" applyAlignment="1" applyFont="1">
      <alignment readingOrder="0"/>
    </xf>
    <xf borderId="0" fillId="0" fontId="14" numFmtId="0" xfId="0" applyAlignment="1" applyFont="1">
      <alignment horizontal="left" readingOrder="0"/>
    </xf>
    <xf borderId="0" fillId="5" fontId="14" numFmtId="0" xfId="0" applyAlignment="1" applyFill="1" applyFont="1">
      <alignment horizontal="left"/>
    </xf>
    <xf borderId="0" fillId="5" fontId="13" numFmtId="0" xfId="0" applyAlignment="1" applyFont="1">
      <alignment readingOrder="0"/>
    </xf>
    <xf borderId="0" fillId="5" fontId="13" numFmtId="3" xfId="0" applyFont="1" applyNumberFormat="1"/>
    <xf borderId="0" fillId="5" fontId="13" numFmtId="164" xfId="0" applyFont="1" applyNumberFormat="1"/>
    <xf borderId="0" fillId="5" fontId="15" numFmtId="0" xfId="0" applyAlignment="1" applyFont="1">
      <alignment readingOrder="0"/>
    </xf>
    <xf borderId="0" fillId="0" fontId="15" numFmtId="10" xfId="0" applyFont="1" applyNumberFormat="1"/>
    <xf borderId="0" fillId="0" fontId="15" numFmtId="49" xfId="0" applyAlignment="1" applyFont="1" applyNumberFormat="1">
      <alignment readingOrder="0"/>
    </xf>
    <xf borderId="0" fillId="0" fontId="13" numFmtId="10" xfId="0" applyFont="1" applyNumberFormat="1"/>
    <xf borderId="9" fillId="6" fontId="16" numFmtId="0" xfId="0" applyAlignment="1" applyBorder="1" applyFill="1" applyFont="1">
      <alignment horizontal="center" shrinkToFit="0" wrapText="1"/>
    </xf>
    <xf borderId="10" fillId="7" fontId="14" numFmtId="0" xfId="0" applyBorder="1" applyFill="1" applyFont="1"/>
    <xf borderId="11" fillId="7" fontId="17" numFmtId="0" xfId="0" applyAlignment="1" applyBorder="1" applyFont="1">
      <alignment horizontal="center" shrinkToFit="0" wrapText="1"/>
    </xf>
    <xf borderId="12" fillId="0" fontId="4" numFmtId="0" xfId="0" applyBorder="1" applyFont="1"/>
    <xf borderId="13" fillId="0" fontId="4" numFmtId="0" xfId="0" applyBorder="1" applyFont="1"/>
    <xf borderId="0" fillId="7" fontId="17" numFmtId="0" xfId="0" applyAlignment="1" applyFont="1">
      <alignment horizontal="center" shrinkToFit="0" wrapText="1"/>
    </xf>
    <xf borderId="14" fillId="7" fontId="17" numFmtId="0" xfId="0" applyAlignment="1" applyBorder="1" applyFont="1">
      <alignment horizontal="center" shrinkToFit="0" wrapText="1"/>
    </xf>
    <xf borderId="15" fillId="0" fontId="4" numFmtId="0" xfId="0" applyBorder="1" applyFont="1"/>
    <xf borderId="16" fillId="0" fontId="4" numFmtId="0" xfId="0" applyBorder="1" applyFont="1"/>
    <xf borderId="0" fillId="0" fontId="17" numFmtId="0" xfId="0" applyAlignment="1" applyFont="1">
      <alignment horizontal="center" shrinkToFit="0" wrapText="1"/>
    </xf>
    <xf borderId="9" fillId="6" fontId="18" numFmtId="0" xfId="0" applyAlignment="1" applyBorder="1" applyFont="1">
      <alignment horizontal="center" shrinkToFit="0" wrapText="1"/>
    </xf>
    <xf borderId="10" fillId="7" fontId="19" numFmtId="0" xfId="0" applyBorder="1" applyFont="1"/>
    <xf borderId="17" fillId="7" fontId="20" numFmtId="0" xfId="0" applyAlignment="1" applyBorder="1" applyFont="1">
      <alignment horizontal="center" shrinkToFit="0" wrapText="1"/>
    </xf>
    <xf borderId="18" fillId="7" fontId="20" numFmtId="0" xfId="0" applyAlignment="1" applyBorder="1" applyFont="1">
      <alignment horizontal="center" shrinkToFit="0" wrapText="1"/>
    </xf>
    <xf borderId="14" fillId="7" fontId="20" numFmtId="0" xfId="0" applyAlignment="1" applyBorder="1" applyFont="1">
      <alignment horizontal="center" shrinkToFit="0" wrapText="1"/>
    </xf>
    <xf borderId="9" fillId="6" fontId="14" numFmtId="0" xfId="0" applyBorder="1" applyFont="1"/>
    <xf borderId="11" fillId="8" fontId="17" numFmtId="0" xfId="0" applyAlignment="1" applyBorder="1" applyFill="1" applyFont="1">
      <alignment horizontal="center" shrinkToFit="0" wrapText="1"/>
    </xf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9" fillId="6" fontId="19" numFmtId="0" xfId="0" applyBorder="1" applyFont="1"/>
    <xf borderId="17" fillId="8" fontId="20" numFmtId="0" xfId="0" applyAlignment="1" applyBorder="1" applyFont="1">
      <alignment horizontal="center" shrinkToFit="0" wrapText="1"/>
    </xf>
    <xf borderId="18" fillId="8" fontId="20" numFmtId="0" xfId="0" applyAlignment="1" applyBorder="1" applyFont="1">
      <alignment horizontal="center" shrinkToFit="0" wrapText="1"/>
    </xf>
    <xf borderId="18" fillId="8" fontId="19" numFmtId="0" xfId="0" applyBorder="1" applyFont="1"/>
    <xf borderId="17" fillId="8" fontId="20" numFmtId="0" xfId="0" applyAlignment="1" applyBorder="1" applyFont="1">
      <alignment horizontal="center"/>
    </xf>
    <xf borderId="18" fillId="8" fontId="20" numFmtId="0" xfId="0" applyAlignment="1" applyBorder="1" applyFont="1">
      <alignment horizontal="center"/>
    </xf>
    <xf borderId="10" fillId="7" fontId="21" numFmtId="0" xfId="0" applyAlignment="1" applyBorder="1" applyFont="1">
      <alignment horizontal="center" shrinkToFit="0" vertical="center" wrapText="1"/>
    </xf>
    <xf borderId="22" fillId="0" fontId="16" numFmtId="1" xfId="0" applyAlignment="1" applyBorder="1" applyFont="1" applyNumberFormat="1">
      <alignment horizontal="center" shrinkToFit="0" vertical="top" wrapText="1"/>
    </xf>
    <xf borderId="22" fillId="0" fontId="16" numFmtId="0" xfId="0" applyAlignment="1" applyBorder="1" applyFont="1">
      <alignment horizontal="center" shrinkToFit="0" vertical="top" wrapText="1"/>
    </xf>
    <xf borderId="0" fillId="0" fontId="16" numFmtId="0" xfId="0" applyAlignment="1" applyFont="1">
      <alignment horizontal="center" shrinkToFit="0" vertical="top" wrapText="1"/>
    </xf>
    <xf borderId="0" fillId="0" fontId="16" numFmtId="0" xfId="0" applyAlignment="1" applyFont="1">
      <alignment horizontal="center" readingOrder="0" shrinkToFit="0" vertical="top" wrapText="1"/>
    </xf>
    <xf borderId="0" fillId="8" fontId="22" numFmtId="0" xfId="0" applyAlignment="1" applyFont="1">
      <alignment horizontal="center" shrinkToFit="0" vertical="top" wrapText="1"/>
    </xf>
    <xf borderId="0" fillId="8" fontId="22" numFmtId="0" xfId="0" applyAlignment="1" applyFont="1">
      <alignment horizontal="center" readingOrder="0" shrinkToFit="0" vertical="top" wrapText="1"/>
    </xf>
    <xf borderId="23" fillId="8" fontId="22" numFmtId="0" xfId="0" applyAlignment="1" applyBorder="1" applyFont="1">
      <alignment horizontal="center" shrinkToFit="0" vertical="top" wrapText="1"/>
    </xf>
    <xf borderId="0" fillId="0" fontId="22" numFmtId="0" xfId="0" applyAlignment="1" applyFont="1">
      <alignment horizontal="center" shrinkToFit="0" wrapText="1"/>
    </xf>
    <xf borderId="10" fillId="7" fontId="23" numFmtId="0" xfId="0" applyAlignment="1" applyBorder="1" applyFont="1">
      <alignment shrinkToFit="0" wrapText="1"/>
    </xf>
    <xf borderId="23" fillId="9" fontId="18" numFmtId="1" xfId="0" applyAlignment="1" applyBorder="1" applyFill="1" applyFont="1" applyNumberFormat="1">
      <alignment horizontal="center" shrinkToFit="0" wrapText="1"/>
    </xf>
    <xf borderId="22" fillId="0" fontId="18" numFmtId="1" xfId="0" applyAlignment="1" applyBorder="1" applyFont="1" applyNumberFormat="1">
      <alignment horizontal="center" shrinkToFit="0" wrapText="1"/>
    </xf>
    <xf borderId="23" fillId="10" fontId="18" numFmtId="0" xfId="0" applyAlignment="1" applyBorder="1" applyFill="1" applyFont="1">
      <alignment horizontal="center" shrinkToFit="0" wrapText="1"/>
    </xf>
    <xf borderId="23" fillId="9" fontId="18" numFmtId="0" xfId="0" applyAlignment="1" applyBorder="1" applyFont="1">
      <alignment horizontal="center" shrinkToFit="0" wrapText="1"/>
    </xf>
    <xf borderId="23" fillId="3" fontId="18" numFmtId="0" xfId="0" applyAlignment="1" applyBorder="1" applyFont="1">
      <alignment horizontal="center" shrinkToFit="0" wrapText="1"/>
    </xf>
    <xf borderId="10" fillId="9" fontId="18" numFmtId="0" xfId="0" applyAlignment="1" applyBorder="1" applyFont="1">
      <alignment horizontal="center" shrinkToFit="0" wrapText="1"/>
    </xf>
    <xf borderId="23" fillId="8" fontId="24" numFmtId="0" xfId="0" applyAlignment="1" applyBorder="1" applyFont="1">
      <alignment horizontal="center" shrinkToFit="0" wrapText="1"/>
    </xf>
    <xf borderId="10" fillId="6" fontId="14" numFmtId="0" xfId="0" applyAlignment="1" applyBorder="1" applyFont="1">
      <alignment horizontal="center"/>
    </xf>
    <xf borderId="10" fillId="6" fontId="16" numFmtId="0" xfId="0" applyAlignment="1" applyBorder="1" applyFont="1">
      <alignment horizontal="center" vertical="center"/>
    </xf>
    <xf borderId="10" fillId="6" fontId="16" numFmtId="3" xfId="0" applyAlignment="1" applyBorder="1" applyFont="1" applyNumberFormat="1">
      <alignment horizontal="center" readingOrder="0" shrinkToFit="0" wrapText="1"/>
    </xf>
    <xf borderId="10" fillId="5" fontId="16" numFmtId="3" xfId="0" applyAlignment="1" applyBorder="1" applyFont="1" applyNumberFormat="1">
      <alignment horizontal="center" readingOrder="0" shrinkToFit="0" wrapText="1"/>
    </xf>
    <xf borderId="10" fillId="6" fontId="16" numFmtId="3" xfId="0" applyAlignment="1" applyBorder="1" applyFont="1" applyNumberFormat="1">
      <alignment horizontal="left" readingOrder="0" shrinkToFit="0" wrapText="1"/>
    </xf>
    <xf borderId="10" fillId="11" fontId="16" numFmtId="3" xfId="0" applyAlignment="1" applyBorder="1" applyFill="1" applyFont="1" applyNumberFormat="1">
      <alignment horizontal="center" readingOrder="0" shrinkToFit="0" wrapText="1"/>
    </xf>
    <xf borderId="24" fillId="8" fontId="22" numFmtId="3" xfId="0" applyAlignment="1" applyBorder="1" applyFont="1" applyNumberFormat="1">
      <alignment horizontal="center" shrinkToFit="0" wrapText="1"/>
    </xf>
    <xf borderId="25" fillId="8" fontId="22" numFmtId="3" xfId="0" applyAlignment="1" applyBorder="1" applyFont="1" applyNumberFormat="1">
      <alignment horizontal="center" shrinkToFit="0" wrapText="1"/>
    </xf>
    <xf borderId="26" fillId="8" fontId="22" numFmtId="3" xfId="0" applyAlignment="1" applyBorder="1" applyFont="1" applyNumberFormat="1">
      <alignment horizontal="center" shrinkToFit="0" wrapText="1"/>
    </xf>
    <xf borderId="0" fillId="0" fontId="22" numFmtId="3" xfId="0" applyAlignment="1" applyFont="1" applyNumberFormat="1">
      <alignment horizontal="center" shrinkToFit="0" wrapText="1"/>
    </xf>
    <xf borderId="9" fillId="6" fontId="19" numFmtId="3" xfId="0" applyBorder="1" applyFont="1" applyNumberFormat="1"/>
    <xf borderId="23" fillId="6" fontId="18" numFmtId="3" xfId="0" applyBorder="1" applyFont="1" applyNumberFormat="1"/>
    <xf borderId="23" fillId="6" fontId="18" numFmtId="1" xfId="0" applyAlignment="1" applyBorder="1" applyFont="1" applyNumberFormat="1">
      <alignment horizontal="center" shrinkToFit="0" wrapText="1"/>
    </xf>
    <xf borderId="23" fillId="6" fontId="18" numFmtId="3" xfId="0" applyAlignment="1" applyBorder="1" applyFont="1" applyNumberFormat="1">
      <alignment horizontal="center" shrinkToFit="0" wrapText="1"/>
    </xf>
    <xf borderId="27" fillId="3" fontId="18" numFmtId="3" xfId="0" applyAlignment="1" applyBorder="1" applyFont="1" applyNumberFormat="1">
      <alignment horizontal="center" shrinkToFit="0" wrapText="1"/>
    </xf>
    <xf borderId="23" fillId="3" fontId="18" numFmtId="3" xfId="0" applyAlignment="1" applyBorder="1" applyFont="1" applyNumberFormat="1">
      <alignment horizontal="center" shrinkToFit="0" wrapText="1"/>
    </xf>
    <xf borderId="10" fillId="6" fontId="18" numFmtId="3" xfId="0" applyAlignment="1" applyBorder="1" applyFont="1" applyNumberFormat="1">
      <alignment horizontal="center" shrinkToFit="0" wrapText="1"/>
    </xf>
    <xf borderId="23" fillId="8" fontId="24" numFmtId="3" xfId="0" applyAlignment="1" applyBorder="1" applyFont="1" applyNumberFormat="1">
      <alignment horizontal="center" shrinkToFit="0" wrapText="1"/>
    </xf>
    <xf borderId="0" fillId="0" fontId="14" numFmtId="9" xfId="0" applyAlignment="1" applyFont="1" applyNumberFormat="1">
      <alignment horizontal="center"/>
    </xf>
    <xf borderId="0" fillId="0" fontId="14" numFmtId="1" xfId="0" applyAlignment="1" applyFont="1" applyNumberFormat="1">
      <alignment horizontal="right" readingOrder="0"/>
    </xf>
    <xf borderId="0" fillId="0" fontId="14" numFmtId="3" xfId="0" applyAlignment="1" applyFont="1" applyNumberFormat="1">
      <alignment horizontal="center"/>
    </xf>
    <xf borderId="10" fillId="12" fontId="14" numFmtId="10" xfId="0" applyAlignment="1" applyBorder="1" applyFill="1" applyFont="1" applyNumberFormat="1">
      <alignment horizontal="center"/>
    </xf>
    <xf borderId="0" fillId="0" fontId="14" numFmtId="10" xfId="0" applyAlignment="1" applyFont="1" applyNumberFormat="1">
      <alignment horizontal="center"/>
    </xf>
    <xf borderId="0" fillId="0" fontId="25" numFmtId="0" xfId="0" applyAlignment="1" applyFont="1">
      <alignment horizontal="center"/>
    </xf>
    <xf borderId="0" fillId="0" fontId="19" numFmtId="0" xfId="0" applyFont="1"/>
    <xf borderId="0" fillId="0" fontId="19" numFmtId="3" xfId="0" applyAlignment="1" applyFont="1" applyNumberFormat="1">
      <alignment horizontal="center"/>
    </xf>
    <xf borderId="0" fillId="0" fontId="25" numFmtId="3" xfId="0" applyAlignment="1" applyFont="1" applyNumberFormat="1">
      <alignment horizontal="center"/>
    </xf>
    <xf borderId="28" fillId="0" fontId="26" numFmtId="3" xfId="0" applyAlignment="1" applyBorder="1" applyFont="1" applyNumberFormat="1">
      <alignment horizontal="center"/>
    </xf>
    <xf borderId="29" fillId="3" fontId="27" numFmtId="3" xfId="0" applyAlignment="1" applyBorder="1" applyFont="1" applyNumberFormat="1">
      <alignment horizontal="center"/>
    </xf>
    <xf borderId="0" fillId="0" fontId="25" numFmtId="10" xfId="0" applyAlignment="1" applyFont="1" applyNumberFormat="1">
      <alignment horizontal="center"/>
    </xf>
    <xf borderId="0" fillId="0" fontId="28" numFmtId="9" xfId="0" applyFont="1" applyNumberFormat="1"/>
    <xf borderId="0" fillId="0" fontId="25" numFmtId="165" xfId="0" applyAlignment="1" applyFont="1" applyNumberFormat="1">
      <alignment horizontal="right" readingOrder="0" shrinkToFit="0" wrapText="0"/>
    </xf>
    <xf borderId="0" fillId="0" fontId="25" numFmtId="4" xfId="0" applyAlignment="1" applyFont="1" applyNumberFormat="1">
      <alignment horizontal="right" vertical="bottom"/>
    </xf>
    <xf borderId="0" fillId="0" fontId="25" numFmtId="165" xfId="0" applyAlignment="1" applyFont="1" applyNumberFormat="1">
      <alignment horizontal="right" readingOrder="0"/>
    </xf>
    <xf borderId="0" fillId="0" fontId="25" numFmtId="1" xfId="0" applyAlignment="1" applyFont="1" applyNumberFormat="1">
      <alignment horizontal="right" readingOrder="0" shrinkToFit="0" wrapText="0"/>
    </xf>
    <xf borderId="0" fillId="0" fontId="29" numFmtId="1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center" vertical="bottom"/>
    </xf>
    <xf borderId="10" fillId="3" fontId="27" numFmtId="3" xfId="0" applyAlignment="1" applyBorder="1" applyFont="1" applyNumberFormat="1">
      <alignment horizontal="center"/>
    </xf>
    <xf borderId="0" fillId="0" fontId="28" numFmtId="0" xfId="0" applyFont="1"/>
    <xf borderId="0" fillId="13" fontId="14" numFmtId="3" xfId="0" applyAlignment="1" applyFill="1" applyFont="1" applyNumberFormat="1">
      <alignment horizontal="center"/>
    </xf>
    <xf borderId="10" fillId="13" fontId="14" numFmtId="10" xfId="0" applyAlignment="1" applyBorder="1" applyFont="1" applyNumberFormat="1">
      <alignment horizontal="center"/>
    </xf>
    <xf borderId="10" fillId="5" fontId="25" numFmtId="3" xfId="0" applyAlignment="1" applyBorder="1" applyFont="1" applyNumberFormat="1">
      <alignment horizontal="center"/>
    </xf>
    <xf borderId="10" fillId="5" fontId="25" numFmtId="10" xfId="0" applyAlignment="1" applyBorder="1" applyFont="1" applyNumberFormat="1">
      <alignment horizontal="center"/>
    </xf>
    <xf borderId="0" fillId="0" fontId="29" numFmtId="1" xfId="0" applyAlignment="1" applyFont="1" applyNumberFormat="1">
      <alignment readingOrder="0" shrinkToFit="0" vertical="bottom" wrapText="0"/>
    </xf>
    <xf borderId="0" fillId="0" fontId="25" numFmtId="4" xfId="0" applyAlignment="1" applyFont="1" applyNumberFormat="1">
      <alignment vertical="bottom"/>
    </xf>
    <xf borderId="0" fillId="0" fontId="25" numFmtId="165" xfId="0" applyAlignment="1" applyFont="1" applyNumberFormat="1">
      <alignment horizontal="right"/>
    </xf>
    <xf borderId="10" fillId="14" fontId="19" numFmtId="0" xfId="0" applyBorder="1" applyFill="1" applyFont="1"/>
    <xf borderId="10" fillId="14" fontId="19" numFmtId="3" xfId="0" applyBorder="1" applyFont="1" applyNumberFormat="1"/>
    <xf borderId="10" fillId="14" fontId="19" numFmtId="3" xfId="0" applyAlignment="1" applyBorder="1" applyFont="1" applyNumberFormat="1">
      <alignment horizontal="center"/>
    </xf>
    <xf borderId="30" fillId="14" fontId="26" numFmtId="3" xfId="0" applyAlignment="1" applyBorder="1" applyFont="1" applyNumberFormat="1">
      <alignment horizontal="center"/>
    </xf>
    <xf borderId="10" fillId="14" fontId="27" numFmtId="3" xfId="0" applyAlignment="1" applyBorder="1" applyFont="1" applyNumberFormat="1">
      <alignment horizontal="center"/>
    </xf>
    <xf borderId="31" fillId="0" fontId="28" numFmtId="9" xfId="0" applyBorder="1" applyFont="1" applyNumberFormat="1"/>
    <xf borderId="0" fillId="0" fontId="26" numFmtId="3" xfId="0" applyAlignment="1" applyFont="1" applyNumberFormat="1">
      <alignment horizontal="center"/>
    </xf>
    <xf borderId="32" fillId="0" fontId="25" numFmtId="165" xfId="0" applyAlignment="1" applyBorder="1" applyFont="1" applyNumberFormat="1">
      <alignment horizontal="right" readingOrder="0" shrinkToFit="0" wrapText="0"/>
    </xf>
    <xf borderId="32" fillId="0" fontId="25" numFmtId="165" xfId="0" applyAlignment="1" applyBorder="1" applyFont="1" applyNumberFormat="1">
      <alignment horizontal="right" readingOrder="0"/>
    </xf>
    <xf borderId="32" fillId="0" fontId="25" numFmtId="3" xfId="0" applyAlignment="1" applyBorder="1" applyFont="1" applyNumberFormat="1">
      <alignment horizontal="right" readingOrder="0" shrinkToFit="0" wrapText="0"/>
    </xf>
    <xf borderId="0" fillId="0" fontId="29" numFmtId="3" xfId="0" applyAlignment="1" applyFont="1" applyNumberFormat="1">
      <alignment horizontal="right" readingOrder="0" shrinkToFit="0" vertical="bottom" wrapText="0"/>
    </xf>
    <xf borderId="33" fillId="12" fontId="14" numFmtId="10" xfId="0" applyAlignment="1" applyBorder="1" applyFont="1" applyNumberFormat="1">
      <alignment horizontal="center"/>
    </xf>
    <xf borderId="31" fillId="0" fontId="14" numFmtId="0" xfId="0" applyBorder="1" applyFont="1"/>
    <xf borderId="34" fillId="5" fontId="21" numFmtId="0" xfId="0" applyAlignment="1" applyBorder="1" applyFont="1">
      <alignment horizontal="left" shrinkToFit="0" wrapText="1"/>
    </xf>
    <xf borderId="10" fillId="5" fontId="23" numFmtId="3" xfId="0" applyAlignment="1" applyBorder="1" applyFont="1" applyNumberFormat="1">
      <alignment horizontal="center" shrinkToFit="0" wrapText="1"/>
    </xf>
    <xf borderId="35" fillId="5" fontId="23" numFmtId="3" xfId="0" applyAlignment="1" applyBorder="1" applyFont="1" applyNumberFormat="1">
      <alignment horizontal="center" shrinkToFit="0" wrapText="1"/>
    </xf>
    <xf borderId="36" fillId="15" fontId="30" numFmtId="10" xfId="0" applyAlignment="1" applyBorder="1" applyFill="1" applyFont="1" applyNumberFormat="1">
      <alignment horizontal="center"/>
    </xf>
    <xf borderId="35" fillId="2" fontId="31" numFmtId="10" xfId="0" applyAlignment="1" applyBorder="1" applyFont="1" applyNumberFormat="1">
      <alignment horizontal="center"/>
    </xf>
    <xf borderId="0" fillId="0" fontId="21" numFmtId="10" xfId="0" applyAlignment="1" applyFont="1" applyNumberFormat="1">
      <alignment horizontal="center"/>
    </xf>
    <xf borderId="0" fillId="0" fontId="19" numFmtId="10" xfId="0" applyFont="1" applyNumberFormat="1"/>
    <xf borderId="10" fillId="5" fontId="23" numFmtId="0" xfId="0" applyAlignment="1" applyBorder="1" applyFont="1">
      <alignment shrinkToFit="0" wrapText="1"/>
    </xf>
    <xf borderId="30" fillId="5" fontId="23" numFmtId="3" xfId="0" applyAlignment="1" applyBorder="1" applyFont="1" applyNumberFormat="1">
      <alignment horizontal="center" shrinkToFit="0" wrapText="1"/>
    </xf>
    <xf borderId="10" fillId="5" fontId="23" numFmtId="10" xfId="0" applyAlignment="1" applyBorder="1" applyFont="1" applyNumberFormat="1">
      <alignment horizontal="center"/>
    </xf>
    <xf borderId="31" fillId="0" fontId="32" numFmtId="0" xfId="0" applyBorder="1" applyFont="1"/>
    <xf borderId="0" fillId="0" fontId="32" numFmtId="0" xfId="0" applyFont="1"/>
    <xf borderId="0" fillId="0" fontId="33" numFmtId="0" xfId="0" applyAlignment="1" applyFont="1">
      <alignment shrinkToFit="0" wrapText="1"/>
    </xf>
    <xf borderId="0" fillId="0" fontId="34" numFmtId="0" xfId="0" applyAlignment="1" applyFont="1">
      <alignment horizontal="left"/>
    </xf>
    <xf borderId="10" fillId="7" fontId="21" numFmtId="0" xfId="0" applyAlignment="1" applyBorder="1" applyFont="1">
      <alignment horizontal="left" shrinkToFit="0" wrapText="1"/>
    </xf>
    <xf borderId="22" fillId="0" fontId="16" numFmtId="1" xfId="0" applyAlignment="1" applyBorder="1" applyFont="1" applyNumberFormat="1">
      <alignment horizontal="center" readingOrder="0" shrinkToFit="0" vertical="top" wrapText="1"/>
    </xf>
    <xf borderId="22" fillId="0" fontId="16" numFmtId="0" xfId="0" applyAlignment="1" applyBorder="1" applyFont="1">
      <alignment horizontal="center" readingOrder="0" shrinkToFit="0" vertical="top" wrapText="1"/>
    </xf>
    <xf borderId="10" fillId="6" fontId="16" numFmtId="0" xfId="0" applyAlignment="1" applyBorder="1" applyFont="1">
      <alignment horizontal="left"/>
    </xf>
    <xf borderId="10" fillId="15" fontId="16" numFmtId="3" xfId="0" applyAlignment="1" applyBorder="1" applyFont="1" applyNumberFormat="1">
      <alignment horizontal="center" readingOrder="0" shrinkToFit="0" wrapText="1"/>
    </xf>
    <xf borderId="10" fillId="16" fontId="16" numFmtId="3" xfId="0" applyAlignment="1" applyBorder="1" applyFill="1" applyFont="1" applyNumberFormat="1">
      <alignment horizontal="center" readingOrder="0" shrinkToFit="0" wrapText="1"/>
    </xf>
    <xf borderId="10" fillId="8" fontId="22" numFmtId="3" xfId="0" applyAlignment="1" applyBorder="1" applyFont="1" applyNumberFormat="1">
      <alignment horizontal="center" shrinkToFit="0" wrapText="1"/>
    </xf>
    <xf borderId="0" fillId="0" fontId="19" numFmtId="0" xfId="0" applyAlignment="1" applyFont="1">
      <alignment readingOrder="0"/>
    </xf>
    <xf borderId="0" fillId="0" fontId="14" numFmtId="3" xfId="0" applyAlignment="1" applyFont="1" applyNumberFormat="1">
      <alignment horizontal="right" readingOrder="0" vertical="bottom"/>
    </xf>
    <xf borderId="10" fillId="0" fontId="14" numFmtId="3" xfId="0" applyAlignment="1" applyBorder="1" applyFont="1" applyNumberFormat="1">
      <alignment horizontal="right" vertical="bottom"/>
    </xf>
    <xf borderId="0" fillId="0" fontId="14" numFmtId="1" xfId="0" applyAlignment="1" applyFont="1" applyNumberFormat="1">
      <alignment horizontal="right" vertical="bottom"/>
    </xf>
    <xf borderId="0" fillId="0" fontId="14" numFmtId="10" xfId="0" applyAlignment="1" applyFont="1" applyNumberFormat="1">
      <alignment horizontal="center" readingOrder="0"/>
    </xf>
    <xf borderId="0" fillId="0" fontId="14" numFmtId="0" xfId="0" applyAlignment="1" applyFont="1">
      <alignment horizontal="center"/>
    </xf>
    <xf borderId="0" fillId="0" fontId="14" numFmtId="3" xfId="0" applyAlignment="1" applyFont="1" applyNumberFormat="1">
      <alignment horizontal="right" vertical="bottom"/>
    </xf>
    <xf borderId="0" fillId="13" fontId="14" numFmtId="1" xfId="0" applyAlignment="1" applyFont="1" applyNumberFormat="1">
      <alignment horizontal="right" readingOrder="0"/>
    </xf>
    <xf borderId="0" fillId="13" fontId="14" numFmtId="3" xfId="0" applyAlignment="1" applyFont="1" applyNumberFormat="1">
      <alignment horizontal="right" readingOrder="0" vertical="bottom"/>
    </xf>
    <xf borderId="0" fillId="13" fontId="14" numFmtId="3" xfId="0" applyAlignment="1" applyFont="1" applyNumberFormat="1">
      <alignment vertical="bottom"/>
    </xf>
    <xf borderId="0" fillId="13" fontId="14" numFmtId="1" xfId="0" applyAlignment="1" applyFont="1" applyNumberFormat="1">
      <alignment horizontal="right" vertical="bottom"/>
    </xf>
    <xf borderId="0" fillId="0" fontId="14" numFmtId="1" xfId="0" applyAlignment="1" applyFont="1" applyNumberFormat="1">
      <alignment horizontal="right" readingOrder="0" shrinkToFit="0" wrapText="1"/>
    </xf>
    <xf borderId="10" fillId="0" fontId="25" numFmtId="3" xfId="0" applyAlignment="1" applyBorder="1" applyFont="1" applyNumberFormat="1">
      <alignment horizontal="center"/>
    </xf>
    <xf borderId="10" fillId="0" fontId="25" numFmtId="10" xfId="0" applyAlignment="1" applyBorder="1" applyFont="1" applyNumberFormat="1">
      <alignment horizontal="center"/>
    </xf>
    <xf borderId="0" fillId="0" fontId="35" numFmtId="1" xfId="0" applyAlignment="1" applyFont="1" applyNumberFormat="1">
      <alignment horizontal="right" readingOrder="0"/>
    </xf>
    <xf borderId="10" fillId="0" fontId="14" numFmtId="1" xfId="0" applyAlignment="1" applyBorder="1" applyFont="1" applyNumberFormat="1">
      <alignment horizontal="right" vertical="bottom"/>
    </xf>
    <xf borderId="10" fillId="0" fontId="19" numFmtId="0" xfId="0" applyBorder="1" applyFont="1"/>
    <xf borderId="0" fillId="5" fontId="14" numFmtId="9" xfId="0" applyAlignment="1" applyFont="1" applyNumberFormat="1">
      <alignment horizontal="center"/>
    </xf>
    <xf borderId="0" fillId="5" fontId="14" numFmtId="1" xfId="0" applyAlignment="1" applyFont="1" applyNumberFormat="1">
      <alignment horizontal="right" readingOrder="0"/>
    </xf>
    <xf borderId="0" fillId="5" fontId="14" numFmtId="3" xfId="0" applyAlignment="1" applyFont="1" applyNumberFormat="1">
      <alignment horizontal="right" readingOrder="0" vertical="bottom"/>
    </xf>
    <xf borderId="0" fillId="5" fontId="35" numFmtId="1" xfId="0" applyAlignment="1" applyFont="1" applyNumberFormat="1">
      <alignment horizontal="right" readingOrder="0"/>
    </xf>
    <xf borderId="0" fillId="5" fontId="14" numFmtId="10" xfId="0" applyAlignment="1" applyFont="1" applyNumberFormat="1">
      <alignment horizontal="center" readingOrder="0"/>
    </xf>
    <xf borderId="0" fillId="5" fontId="14" numFmtId="10" xfId="0" applyAlignment="1" applyFont="1" applyNumberFormat="1">
      <alignment horizontal="center"/>
    </xf>
    <xf borderId="0" fillId="5" fontId="25" numFmtId="0" xfId="0" applyAlignment="1" applyFont="1">
      <alignment horizontal="center"/>
    </xf>
    <xf borderId="0" fillId="5" fontId="19" numFmtId="0" xfId="0" applyFont="1"/>
    <xf borderId="0" fillId="5" fontId="19" numFmtId="3" xfId="0" applyAlignment="1" applyFont="1" applyNumberFormat="1">
      <alignment horizontal="center"/>
    </xf>
    <xf borderId="0" fillId="5" fontId="25" numFmtId="3" xfId="0" applyAlignment="1" applyFont="1" applyNumberFormat="1">
      <alignment horizontal="center"/>
    </xf>
    <xf borderId="28" fillId="5" fontId="26" numFmtId="3" xfId="0" applyAlignment="1" applyBorder="1" applyFont="1" applyNumberFormat="1">
      <alignment horizontal="center"/>
    </xf>
    <xf borderId="10" fillId="5" fontId="27" numFmtId="3" xfId="0" applyAlignment="1" applyBorder="1" applyFont="1" applyNumberFormat="1">
      <alignment horizontal="center"/>
    </xf>
    <xf borderId="0" fillId="5" fontId="25" numFmtId="10" xfId="0" applyAlignment="1" applyFont="1" applyNumberFormat="1">
      <alignment horizontal="center"/>
    </xf>
    <xf borderId="0" fillId="13" fontId="14" numFmtId="0" xfId="0" applyAlignment="1" applyFont="1">
      <alignment horizontal="left"/>
    </xf>
    <xf borderId="10" fillId="13" fontId="14" numFmtId="1" xfId="0" applyAlignment="1" applyBorder="1" applyFont="1" applyNumberFormat="1">
      <alignment horizontal="right" vertical="bottom"/>
    </xf>
    <xf borderId="0" fillId="0" fontId="35" numFmtId="0" xfId="0" applyAlignment="1" applyFont="1">
      <alignment readingOrder="0"/>
    </xf>
    <xf borderId="37" fillId="5" fontId="21" numFmtId="0" xfId="0" applyAlignment="1" applyBorder="1" applyFont="1">
      <alignment horizontal="left" shrinkToFit="0" wrapText="1"/>
    </xf>
    <xf borderId="38" fillId="5" fontId="21" numFmtId="3" xfId="0" applyAlignment="1" applyBorder="1" applyFont="1" applyNumberFormat="1">
      <alignment horizontal="center" shrinkToFit="0" wrapText="1"/>
    </xf>
    <xf borderId="39" fillId="5" fontId="14" numFmtId="3" xfId="0" applyAlignment="1" applyBorder="1" applyFont="1" applyNumberFormat="1">
      <alignment horizontal="center"/>
    </xf>
    <xf borderId="38" fillId="5" fontId="21" numFmtId="10" xfId="0" applyAlignment="1" applyBorder="1" applyFont="1" applyNumberFormat="1">
      <alignment horizontal="center"/>
    </xf>
    <xf borderId="38" fillId="2" fontId="31" numFmtId="10" xfId="0" applyAlignment="1" applyBorder="1" applyFont="1" applyNumberFormat="1">
      <alignment horizontal="center" vertical="center"/>
    </xf>
    <xf borderId="22" fillId="17" fontId="16" numFmtId="1" xfId="0" applyAlignment="1" applyBorder="1" applyFill="1" applyFont="1" applyNumberFormat="1">
      <alignment horizontal="center" shrinkToFit="0" vertical="top" wrapText="1"/>
    </xf>
    <xf borderId="10" fillId="17" fontId="16" numFmtId="3" xfId="0" applyAlignment="1" applyBorder="1" applyFont="1" applyNumberFormat="1">
      <alignment horizontal="center" readingOrder="0" shrinkToFit="0" wrapText="1"/>
    </xf>
    <xf borderId="0" fillId="17" fontId="14" numFmtId="1" xfId="0" applyAlignment="1" applyFont="1" applyNumberFormat="1">
      <alignment horizontal="right" readingOrder="0"/>
    </xf>
    <xf borderId="0" fillId="0" fontId="14" numFmtId="165" xfId="0" applyAlignment="1" applyFont="1" applyNumberFormat="1">
      <alignment horizontal="right" readingOrder="0"/>
    </xf>
    <xf borderId="0" fillId="17" fontId="14" numFmtId="165" xfId="0" applyAlignment="1" applyFont="1" applyNumberFormat="1">
      <alignment horizontal="right" readingOrder="0"/>
    </xf>
    <xf borderId="0" fillId="0" fontId="36" numFmtId="165" xfId="0" applyAlignment="1" applyFont="1" applyNumberFormat="1">
      <alignment horizontal="right" readingOrder="0" shrinkToFit="0" wrapText="0"/>
    </xf>
    <xf borderId="0" fillId="0" fontId="14" numFmtId="1" xfId="0" applyAlignment="1" applyFont="1" applyNumberFormat="1">
      <alignment horizontal="right" readingOrder="0" shrinkToFit="0" wrapText="0"/>
    </xf>
    <xf borderId="0" fillId="0" fontId="14" numFmtId="0" xfId="0" applyAlignment="1" applyFont="1">
      <alignment horizontal="right" readingOrder="0" shrinkToFit="0" wrapText="0"/>
    </xf>
    <xf borderId="0" fillId="0" fontId="14" numFmtId="165" xfId="0" applyAlignment="1" applyFont="1" applyNumberFormat="1">
      <alignment horizontal="right"/>
    </xf>
    <xf borderId="0" fillId="17" fontId="14" numFmtId="165" xfId="0" applyAlignment="1" applyFont="1" applyNumberFormat="1">
      <alignment horizontal="right"/>
    </xf>
    <xf borderId="0" fillId="13" fontId="14" numFmtId="165" xfId="0" applyAlignment="1" applyFont="1" applyNumberFormat="1">
      <alignment horizontal="right" readingOrder="0"/>
    </xf>
    <xf borderId="0" fillId="13" fontId="14" numFmtId="165" xfId="0" applyAlignment="1" applyFont="1" applyNumberFormat="1">
      <alignment horizontal="right"/>
    </xf>
    <xf borderId="0" fillId="13" fontId="36" numFmtId="165" xfId="0" applyAlignment="1" applyFont="1" applyNumberFormat="1">
      <alignment horizontal="right" readingOrder="0" shrinkToFit="0" wrapText="0"/>
    </xf>
    <xf borderId="0" fillId="13" fontId="14" numFmtId="1" xfId="0" applyAlignment="1" applyFont="1" applyNumberFormat="1">
      <alignment horizontal="right" readingOrder="0" shrinkToFit="0" wrapText="0"/>
    </xf>
    <xf borderId="0" fillId="13" fontId="14" numFmtId="0" xfId="0" applyAlignment="1" applyFont="1">
      <alignment horizontal="right" readingOrder="0" shrinkToFit="0" wrapText="0"/>
    </xf>
    <xf borderId="0" fillId="0" fontId="14" numFmtId="3" xfId="0" applyAlignment="1" applyFont="1" applyNumberFormat="1">
      <alignment horizontal="right" readingOrder="0" shrinkToFit="0" wrapText="0"/>
    </xf>
    <xf borderId="32" fillId="0" fontId="14" numFmtId="165" xfId="0" applyAlignment="1" applyBorder="1" applyFont="1" applyNumberFormat="1">
      <alignment horizontal="right" readingOrder="0"/>
    </xf>
    <xf borderId="32" fillId="17" fontId="14" numFmtId="165" xfId="0" applyAlignment="1" applyBorder="1" applyFont="1" applyNumberFormat="1">
      <alignment horizontal="right" readingOrder="0"/>
    </xf>
    <xf borderId="32" fillId="0" fontId="36" numFmtId="165" xfId="0" applyAlignment="1" applyBorder="1" applyFont="1" applyNumberFormat="1">
      <alignment horizontal="right" readingOrder="0" shrinkToFit="0" wrapText="0"/>
    </xf>
    <xf borderId="32" fillId="0" fontId="14" numFmtId="3" xfId="0" applyAlignment="1" applyBorder="1" applyFont="1" applyNumberFormat="1">
      <alignment horizontal="right" readingOrder="0" shrinkToFit="0" wrapText="0"/>
    </xf>
    <xf borderId="32" fillId="0" fontId="14" numFmtId="0" xfId="0" applyAlignment="1" applyBorder="1" applyFont="1">
      <alignment horizontal="right" readingOrder="0" shrinkToFit="0" wrapText="0"/>
    </xf>
    <xf borderId="40" fillId="8" fontId="22" numFmtId="0" xfId="0" applyAlignment="1" applyBorder="1" applyFont="1">
      <alignment horizontal="center" shrinkToFit="0" vertical="top" wrapText="1"/>
    </xf>
    <xf borderId="10" fillId="6" fontId="16" numFmtId="3" xfId="0" applyAlignment="1" applyBorder="1" applyFont="1" applyNumberFormat="1">
      <alignment horizontal="center" readingOrder="0" shrinkToFit="0" vertical="bottom" wrapText="1"/>
    </xf>
    <xf borderId="41" fillId="8" fontId="22" numFmtId="3" xfId="0" applyAlignment="1" applyBorder="1" applyFont="1" applyNumberFormat="1">
      <alignment horizontal="center" shrinkToFit="0" wrapText="1"/>
    </xf>
    <xf borderId="0" fillId="17" fontId="14" numFmtId="1" xfId="0" applyAlignment="1" applyFont="1" applyNumberFormat="1">
      <alignment horizontal="right" readingOrder="0" shrinkToFit="0" wrapText="0"/>
    </xf>
    <xf borderId="0" fillId="0" fontId="15" numFmtId="0" xfId="0" applyFont="1"/>
    <xf borderId="0" fillId="0" fontId="14" numFmtId="1" xfId="0" applyAlignment="1" applyFont="1" applyNumberFormat="1">
      <alignment readingOrder="0"/>
    </xf>
    <xf borderId="42" fillId="12" fontId="14" numFmtId="10" xfId="0" applyAlignment="1" applyBorder="1" applyFont="1" applyNumberFormat="1">
      <alignment horizontal="center"/>
    </xf>
    <xf borderId="42" fillId="13" fontId="14" numFmtId="10" xfId="0" applyAlignment="1" applyBorder="1" applyFont="1" applyNumberFormat="1">
      <alignment horizontal="center"/>
    </xf>
    <xf borderId="0" fillId="0" fontId="36" numFmtId="1" xfId="0" applyAlignment="1" applyFont="1" applyNumberFormat="1">
      <alignment horizontal="right" readingOrder="0" shrinkToFit="0" wrapText="0"/>
    </xf>
    <xf borderId="0" fillId="18" fontId="14" numFmtId="0" xfId="0" applyAlignment="1" applyFill="1" applyFont="1">
      <alignment horizontal="center"/>
    </xf>
    <xf borderId="0" fillId="18" fontId="14" numFmtId="0" xfId="0" applyAlignment="1" applyFont="1">
      <alignment horizontal="left"/>
    </xf>
    <xf borderId="0" fillId="18" fontId="14" numFmtId="1" xfId="0" applyAlignment="1" applyFont="1" applyNumberFormat="1">
      <alignment horizontal="right" readingOrder="0" shrinkToFit="0" wrapText="0"/>
    </xf>
    <xf borderId="0" fillId="18" fontId="36" numFmtId="1" xfId="0" applyAlignment="1" applyFont="1" applyNumberFormat="1">
      <alignment horizontal="right" readingOrder="0" shrinkToFit="0" wrapText="0"/>
    </xf>
    <xf borderId="0" fillId="18" fontId="14" numFmtId="3" xfId="0" applyAlignment="1" applyFont="1" applyNumberFormat="1">
      <alignment horizontal="center" vertical="bottom"/>
    </xf>
    <xf borderId="0" fillId="18" fontId="14" numFmtId="10" xfId="0" applyAlignment="1" applyFont="1" applyNumberFormat="1">
      <alignment horizontal="center"/>
    </xf>
    <xf borderId="0" fillId="18" fontId="14" numFmtId="3" xfId="0" applyAlignment="1" applyFont="1" applyNumberFormat="1">
      <alignment horizontal="center"/>
    </xf>
    <xf borderId="10" fillId="18" fontId="14" numFmtId="10" xfId="0" applyAlignment="1" applyBorder="1" applyFont="1" applyNumberFormat="1">
      <alignment horizontal="center"/>
    </xf>
    <xf borderId="0" fillId="18" fontId="25" numFmtId="0" xfId="0" applyAlignment="1" applyFont="1">
      <alignment horizontal="center"/>
    </xf>
    <xf borderId="0" fillId="18" fontId="19" numFmtId="0" xfId="0" applyFont="1"/>
    <xf borderId="0" fillId="18" fontId="19" numFmtId="3" xfId="0" applyAlignment="1" applyFont="1" applyNumberFormat="1">
      <alignment horizontal="center"/>
    </xf>
    <xf borderId="0" fillId="18" fontId="25" numFmtId="3" xfId="0" applyAlignment="1" applyFont="1" applyNumberFormat="1">
      <alignment horizontal="center"/>
    </xf>
    <xf borderId="28" fillId="18" fontId="26" numFmtId="3" xfId="0" applyAlignment="1" applyBorder="1" applyFont="1" applyNumberFormat="1">
      <alignment horizontal="center"/>
    </xf>
    <xf borderId="10" fillId="18" fontId="27" numFmtId="3" xfId="0" applyAlignment="1" applyBorder="1" applyFont="1" applyNumberFormat="1">
      <alignment horizontal="center"/>
    </xf>
    <xf borderId="0" fillId="18" fontId="25" numFmtId="10" xfId="0" applyAlignment="1" applyFont="1" applyNumberFormat="1">
      <alignment horizontal="center"/>
    </xf>
    <xf borderId="0" fillId="13" fontId="36" numFmtId="1" xfId="0" applyAlignment="1" applyFont="1" applyNumberFormat="1">
      <alignment horizontal="right" readingOrder="0" shrinkToFit="0" wrapText="0"/>
    </xf>
    <xf borderId="0" fillId="13" fontId="14" numFmtId="3" xfId="0" applyAlignment="1" applyFont="1" applyNumberFormat="1">
      <alignment horizontal="center" vertical="bottom"/>
    </xf>
    <xf borderId="0" fillId="13" fontId="14" numFmtId="10" xfId="0" applyAlignment="1" applyFont="1" applyNumberFormat="1">
      <alignment horizontal="center"/>
    </xf>
    <xf borderId="31" fillId="0" fontId="14" numFmtId="9" xfId="0" applyAlignment="1" applyBorder="1" applyFont="1" applyNumberFormat="1">
      <alignment horizontal="center"/>
    </xf>
    <xf borderId="32" fillId="17" fontId="14" numFmtId="3" xfId="0" applyAlignment="1" applyBorder="1" applyFont="1" applyNumberFormat="1">
      <alignment horizontal="right" readingOrder="0" shrinkToFit="0" wrapText="0"/>
    </xf>
    <xf borderId="32" fillId="0" fontId="36" numFmtId="3" xfId="0" applyAlignment="1" applyBorder="1" applyFont="1" applyNumberFormat="1">
      <alignment horizontal="right" readingOrder="0" shrinkToFit="0" wrapText="0"/>
    </xf>
    <xf borderId="32" fillId="0" fontId="14" numFmtId="1" xfId="0" applyAlignment="1" applyBorder="1" applyFont="1" applyNumberFormat="1">
      <alignment horizontal="right" readingOrder="0" shrinkToFit="0" wrapText="0"/>
    </xf>
    <xf borderId="43" fillId="5" fontId="21" numFmtId="0" xfId="0" applyAlignment="1" applyBorder="1" applyFont="1">
      <alignment horizontal="left" shrinkToFit="0" vertical="center" wrapText="1"/>
    </xf>
    <xf borderId="35" fillId="5" fontId="23" numFmtId="3" xfId="0" applyAlignment="1" applyBorder="1" applyFont="1" applyNumberFormat="1">
      <alignment horizontal="center" shrinkToFit="0" vertical="center" wrapText="1"/>
    </xf>
    <xf borderId="35" fillId="5" fontId="23" numFmtId="10" xfId="0" applyAlignment="1" applyBorder="1" applyFont="1" applyNumberFormat="1">
      <alignment horizontal="center" vertical="center"/>
    </xf>
    <xf borderId="35" fillId="2" fontId="31" numFmtId="10" xfId="0" applyAlignment="1" applyBorder="1" applyFont="1" applyNumberFormat="1">
      <alignment horizontal="center" vertical="center"/>
    </xf>
    <xf borderId="10" fillId="6" fontId="16" numFmtId="3" xfId="0" applyAlignment="1" applyBorder="1" applyFont="1" applyNumberFormat="1">
      <alignment horizontal="center" readingOrder="0" shrinkToFit="0" vertical="center" wrapText="1"/>
    </xf>
    <xf borderId="0" fillId="0" fontId="11" numFmtId="1" xfId="0" applyAlignment="1" applyFont="1" applyNumberFormat="1">
      <alignment horizontal="right" readingOrder="0" shrinkToFit="0" wrapText="0"/>
    </xf>
    <xf borderId="0" fillId="0" fontId="11" numFmtId="1" xfId="0" applyAlignment="1" applyFont="1" applyNumberFormat="1">
      <alignment horizontal="right" readingOrder="0"/>
    </xf>
    <xf borderId="0" fillId="13" fontId="11" numFmtId="1" xfId="0" applyAlignment="1" applyFont="1" applyNumberFormat="1">
      <alignment horizontal="right" readingOrder="0" shrinkToFit="0" wrapText="0"/>
    </xf>
    <xf borderId="0" fillId="13" fontId="11" numFmtId="1" xfId="0" applyAlignment="1" applyFont="1" applyNumberFormat="1">
      <alignment horizontal="right" readingOrder="0"/>
    </xf>
    <xf borderId="32" fillId="0" fontId="11" numFmtId="1" xfId="0" applyAlignment="1" applyBorder="1" applyFont="1" applyNumberFormat="1">
      <alignment horizontal="right" readingOrder="0" shrinkToFit="0" wrapText="0"/>
    </xf>
    <xf borderId="44" fillId="5" fontId="14" numFmtId="0" xfId="0" applyBorder="1" applyFont="1"/>
    <xf borderId="38" fillId="5" fontId="21" numFmtId="0" xfId="0" applyAlignment="1" applyBorder="1" applyFont="1">
      <alignment horizontal="left" shrinkToFit="0" wrapText="1"/>
    </xf>
    <xf borderId="38" fillId="5" fontId="23" numFmtId="3" xfId="0" applyAlignment="1" applyBorder="1" applyFont="1" applyNumberFormat="1">
      <alignment horizontal="center" shrinkToFit="0" wrapText="1"/>
    </xf>
    <xf borderId="38" fillId="5" fontId="23" numFmtId="10" xfId="0" applyAlignment="1" applyBorder="1" applyFont="1" applyNumberFormat="1">
      <alignment horizontal="center"/>
    </xf>
    <xf borderId="38" fillId="2" fontId="37" numFmtId="10" xfId="0" applyAlignment="1" applyBorder="1" applyFont="1" applyNumberFormat="1">
      <alignment horizontal="center" vertical="center"/>
    </xf>
    <xf borderId="0" fillId="19" fontId="14" numFmtId="3" xfId="0" applyAlignment="1" applyFill="1" applyFont="1" applyNumberFormat="1">
      <alignment horizontal="center"/>
    </xf>
    <xf borderId="10" fillId="19" fontId="14" numFmtId="10" xfId="0" applyAlignment="1" applyBorder="1" applyFont="1" applyNumberFormat="1">
      <alignment horizontal="center"/>
    </xf>
    <xf borderId="31" fillId="0" fontId="14" numFmtId="0" xfId="0" applyAlignment="1" applyBorder="1" applyFont="1">
      <alignment horizontal="center"/>
    </xf>
    <xf borderId="0" fillId="0" fontId="9" numFmtId="1" xfId="0" applyAlignment="1" applyFont="1" applyNumberFormat="1">
      <alignment horizontal="right" readingOrder="0"/>
    </xf>
    <xf borderId="38" fillId="5" fontId="10" numFmtId="3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757575"/>
                </a:solidFill>
                <a:latin typeface="Roboto"/>
              </a:defRPr>
            </a:pPr>
            <a:r>
              <a:rPr b="1" sz="3000">
                <a:solidFill>
                  <a:srgbClr val="757575"/>
                </a:solidFill>
                <a:latin typeface="Roboto"/>
              </a:rPr>
              <a:t>Índice de impunidad Nacional 2020-2024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19050">
              <a:solidFill>
                <a:srgbClr val="A64D79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A64D79">
                  <a:alpha val="100000"/>
                </a:srgbClr>
              </a:solidFill>
              <a:ln cmpd="sng">
                <a:solidFill>
                  <a:srgbClr val="A64D79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idei_serie!$Q$2:$Q$6</c:f>
            </c:strRef>
          </c:cat>
          <c:val>
            <c:numRef>
              <c:f>idei_serie!$R$2:$R$6</c:f>
              <c:numCache/>
            </c:numRef>
          </c:val>
          <c:smooth val="0"/>
        </c:ser>
        <c:axId val="1608762337"/>
        <c:axId val="2034412881"/>
      </c:lineChart>
      <c:catAx>
        <c:axId val="16087623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34412881"/>
      </c:catAx>
      <c:valAx>
        <c:axId val="2034412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87623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180975</xdr:colOff>
      <xdr:row>1</xdr:row>
      <xdr:rowOff>66675</xdr:rowOff>
    </xdr:from>
    <xdr:ext cx="7343775" cy="4543425"/>
    <xdr:graphicFrame>
      <xdr:nvGraphicFramePr>
        <xdr:cNvPr id="89584092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egi.org.mx/programas/cnpje/2021/" TargetMode="External"/><Relationship Id="rId10" Type="http://schemas.openxmlformats.org/officeDocument/2006/relationships/hyperlink" Target="https://www.inegi.org.mx/programas/cnije/2021/" TargetMode="External"/><Relationship Id="rId13" Type="http://schemas.openxmlformats.org/officeDocument/2006/relationships/hyperlink" Target="https://www.inegi.org.mx/programas/cnije/2020/" TargetMode="External"/><Relationship Id="rId12" Type="http://schemas.openxmlformats.org/officeDocument/2006/relationships/hyperlink" Target="https://www.inegi.org.mx/programas/cnpje/2020/" TargetMode="External"/><Relationship Id="rId1" Type="http://schemas.openxmlformats.org/officeDocument/2006/relationships/hyperlink" Target="https://www.inegi.org.mx/programas/cnije/2024/" TargetMode="External"/><Relationship Id="rId2" Type="http://schemas.openxmlformats.org/officeDocument/2006/relationships/hyperlink" Target="https://www.inegi.org.mx/programas/cnpje/2024/" TargetMode="External"/><Relationship Id="rId3" Type="http://schemas.openxmlformats.org/officeDocument/2006/relationships/hyperlink" Target="https://www.inegi.org.mx/programas/cnpje/2023/" TargetMode="External"/><Relationship Id="rId4" Type="http://schemas.openxmlformats.org/officeDocument/2006/relationships/hyperlink" Target="https://www.inegi.org.mx/programas/cnije/2023/" TargetMode="External"/><Relationship Id="rId9" Type="http://schemas.openxmlformats.org/officeDocument/2006/relationships/hyperlink" Target="https://www.inegi.org.mx/programas/cnpje/2021/" TargetMode="External"/><Relationship Id="rId15" Type="http://schemas.openxmlformats.org/officeDocument/2006/relationships/hyperlink" Target="https://www.inegi.org.mx/programas/cnpje/2019/" TargetMode="External"/><Relationship Id="rId14" Type="http://schemas.openxmlformats.org/officeDocument/2006/relationships/hyperlink" Target="https://www.inegi.org.mx/programas/cnpje/2020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inegi.org.mx/programas/cnpje/2023/" TargetMode="External"/><Relationship Id="rId6" Type="http://schemas.openxmlformats.org/officeDocument/2006/relationships/hyperlink" Target="https://www.inegi.org.mx/programas/cnpje/2022/" TargetMode="External"/><Relationship Id="rId7" Type="http://schemas.openxmlformats.org/officeDocument/2006/relationships/hyperlink" Target="https://www.inegi.org.mx/programas/cnije/2022/" TargetMode="External"/><Relationship Id="rId8" Type="http://schemas.openxmlformats.org/officeDocument/2006/relationships/hyperlink" Target="https://www.inegi.org.mx/programas/cnpje/2022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7.88"/>
    <col customWidth="1" min="2" max="2" width="56.75"/>
    <col customWidth="1" min="3" max="3" width="76.88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5" t="s">
        <v>5</v>
      </c>
    </row>
    <row r="3">
      <c r="A3" s="6"/>
      <c r="B3" s="4" t="s">
        <v>6</v>
      </c>
      <c r="C3" s="5" t="s">
        <v>7</v>
      </c>
    </row>
    <row r="4">
      <c r="A4" s="7"/>
      <c r="B4" s="4" t="s">
        <v>8</v>
      </c>
      <c r="C4" s="5" t="s">
        <v>9</v>
      </c>
    </row>
    <row r="5">
      <c r="A5" s="3" t="s">
        <v>10</v>
      </c>
      <c r="B5" s="4" t="s">
        <v>11</v>
      </c>
      <c r="C5" s="5" t="s">
        <v>12</v>
      </c>
    </row>
    <row r="6">
      <c r="A6" s="6"/>
      <c r="B6" s="4" t="s">
        <v>8</v>
      </c>
      <c r="C6" s="5" t="s">
        <v>9</v>
      </c>
    </row>
    <row r="7">
      <c r="A7" s="7"/>
      <c r="B7" s="4" t="s">
        <v>13</v>
      </c>
      <c r="C7" s="5" t="s">
        <v>14</v>
      </c>
    </row>
    <row r="8">
      <c r="A8" s="3" t="s">
        <v>15</v>
      </c>
      <c r="B8" s="4" t="s">
        <v>16</v>
      </c>
      <c r="C8" s="5" t="s">
        <v>17</v>
      </c>
    </row>
    <row r="9">
      <c r="A9" s="6"/>
      <c r="B9" s="4" t="s">
        <v>13</v>
      </c>
      <c r="C9" s="5" t="s">
        <v>14</v>
      </c>
    </row>
    <row r="10">
      <c r="A10" s="7"/>
      <c r="B10" s="4" t="s">
        <v>18</v>
      </c>
      <c r="C10" s="5" t="s">
        <v>19</v>
      </c>
    </row>
    <row r="11">
      <c r="A11" s="3" t="s">
        <v>20</v>
      </c>
      <c r="B11" s="4" t="s">
        <v>21</v>
      </c>
      <c r="C11" s="5" t="s">
        <v>22</v>
      </c>
    </row>
    <row r="12">
      <c r="A12" s="6"/>
      <c r="B12" s="4" t="s">
        <v>18</v>
      </c>
      <c r="C12" s="5" t="s">
        <v>19</v>
      </c>
    </row>
    <row r="13">
      <c r="A13" s="7"/>
      <c r="B13" s="4" t="s">
        <v>23</v>
      </c>
      <c r="C13" s="5" t="s">
        <v>24</v>
      </c>
    </row>
    <row r="14">
      <c r="A14" s="3" t="s">
        <v>25</v>
      </c>
      <c r="B14" s="4" t="s">
        <v>26</v>
      </c>
      <c r="C14" s="5" t="s">
        <v>27</v>
      </c>
    </row>
    <row r="15">
      <c r="A15" s="6"/>
      <c r="B15" s="4" t="s">
        <v>23</v>
      </c>
      <c r="C15" s="5" t="s">
        <v>24</v>
      </c>
    </row>
    <row r="16">
      <c r="A16" s="7"/>
      <c r="B16" s="4" t="s">
        <v>28</v>
      </c>
      <c r="C16" s="5" t="s">
        <v>29</v>
      </c>
    </row>
  </sheetData>
  <mergeCells count="5">
    <mergeCell ref="A2:A4"/>
    <mergeCell ref="A5:A7"/>
    <mergeCell ref="A8:A10"/>
    <mergeCell ref="A11:A13"/>
    <mergeCell ref="A14:A16"/>
  </mergeCell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22.38"/>
    <col hidden="1" min="3" max="3" width="12.63"/>
    <col hidden="1" min="5" max="5" width="12.63"/>
    <col hidden="1" min="7" max="7" width="12.63"/>
    <col hidden="1" min="9" max="9" width="12.63"/>
    <col hidden="1" min="11" max="11" width="12.63"/>
  </cols>
  <sheetData>
    <row r="1">
      <c r="A1" s="8"/>
      <c r="B1" s="9" t="s">
        <v>30</v>
      </c>
      <c r="C1" s="10">
        <v>2020.0</v>
      </c>
      <c r="D1" s="11"/>
      <c r="E1" s="10">
        <v>2021.0</v>
      </c>
      <c r="F1" s="11"/>
      <c r="G1" s="10">
        <v>2022.0</v>
      </c>
      <c r="H1" s="11"/>
      <c r="I1" s="10">
        <v>2023.0</v>
      </c>
      <c r="J1" s="11"/>
      <c r="K1" s="10">
        <v>2024.0</v>
      </c>
      <c r="L1" s="11"/>
      <c r="M1" s="12"/>
      <c r="N1" s="12"/>
      <c r="O1" s="12"/>
      <c r="P1" s="13" t="s">
        <v>31</v>
      </c>
      <c r="Q1" s="14" t="s">
        <v>32</v>
      </c>
      <c r="R1" s="13" t="s">
        <v>33</v>
      </c>
      <c r="S1" s="12"/>
      <c r="T1" s="12"/>
      <c r="U1" s="12"/>
      <c r="V1" s="12"/>
      <c r="W1" s="12"/>
      <c r="X1" s="12"/>
      <c r="Y1" s="12"/>
      <c r="Z1" s="12"/>
    </row>
    <row r="2" ht="34.5" customHeight="1">
      <c r="A2" s="15" t="s">
        <v>34</v>
      </c>
      <c r="B2" s="15" t="s">
        <v>35</v>
      </c>
      <c r="C2" s="16" t="s">
        <v>36</v>
      </c>
      <c r="D2" s="16" t="s">
        <v>37</v>
      </c>
      <c r="E2" s="16" t="s">
        <v>36</v>
      </c>
      <c r="F2" s="16" t="s">
        <v>37</v>
      </c>
      <c r="G2" s="16" t="s">
        <v>36</v>
      </c>
      <c r="H2" s="16" t="s">
        <v>37</v>
      </c>
      <c r="I2" s="16" t="s">
        <v>36</v>
      </c>
      <c r="J2" s="16" t="s">
        <v>37</v>
      </c>
      <c r="K2" s="16" t="s">
        <v>36</v>
      </c>
      <c r="L2" s="16" t="s">
        <v>37</v>
      </c>
      <c r="M2" s="17"/>
      <c r="N2" s="17"/>
      <c r="O2" s="17"/>
      <c r="P2" s="13" t="s">
        <v>38</v>
      </c>
      <c r="Q2" s="14" t="s">
        <v>39</v>
      </c>
      <c r="R2" s="18">
        <v>0.953012930293985</v>
      </c>
      <c r="S2" s="12"/>
      <c r="T2" s="12"/>
      <c r="U2" s="12"/>
      <c r="V2" s="12"/>
      <c r="W2" s="12"/>
      <c r="X2" s="12"/>
      <c r="Y2" s="12"/>
      <c r="Z2" s="12"/>
    </row>
    <row r="3" ht="16.5" customHeight="1">
      <c r="A3" s="19"/>
      <c r="B3" s="20" t="s">
        <v>38</v>
      </c>
      <c r="C3" s="21">
        <v>0.08564472573735081</v>
      </c>
      <c r="D3" s="22">
        <v>0.953012930293985</v>
      </c>
      <c r="E3" s="21">
        <v>0.03480044741039063</v>
      </c>
      <c r="F3" s="22">
        <v>0.9651995525896093</v>
      </c>
      <c r="G3" s="21">
        <v>0.10963690852674224</v>
      </c>
      <c r="H3" s="22">
        <v>0.8892066431433666</v>
      </c>
      <c r="I3" s="21">
        <v>0.0588161306493179</v>
      </c>
      <c r="J3" s="22">
        <v>0.9411838693506821</v>
      </c>
      <c r="K3" s="21">
        <v>0.041856499661697154</v>
      </c>
      <c r="L3" s="22">
        <v>0.9581435003383029</v>
      </c>
      <c r="M3" s="17"/>
      <c r="N3" s="17"/>
      <c r="O3" s="17"/>
      <c r="P3" s="13" t="s">
        <v>38</v>
      </c>
      <c r="Q3" s="14" t="s">
        <v>40</v>
      </c>
      <c r="R3" s="18">
        <v>0.9651995525896093</v>
      </c>
      <c r="S3" s="12"/>
      <c r="T3" s="12"/>
      <c r="U3" s="12"/>
      <c r="V3" s="12"/>
      <c r="W3" s="12"/>
      <c r="X3" s="12"/>
      <c r="Y3" s="12"/>
      <c r="Z3" s="12"/>
    </row>
    <row r="4" ht="16.5" customHeight="1">
      <c r="A4" s="19">
        <v>33.0</v>
      </c>
      <c r="B4" s="23" t="s">
        <v>41</v>
      </c>
      <c r="C4" s="21"/>
      <c r="D4" s="24">
        <v>0.9747320486477481</v>
      </c>
      <c r="E4" s="25"/>
      <c r="F4" s="24">
        <v>0.9658445767347783</v>
      </c>
      <c r="G4" s="25"/>
      <c r="H4" s="26">
        <v>1.1328997704667176</v>
      </c>
      <c r="I4" s="25"/>
      <c r="J4" s="24">
        <v>0.9442857958764064</v>
      </c>
      <c r="K4" s="25"/>
      <c r="L4" s="24">
        <v>0.9538780120481928</v>
      </c>
      <c r="M4" s="17"/>
      <c r="N4" s="17"/>
      <c r="O4" s="17"/>
      <c r="P4" s="13" t="s">
        <v>38</v>
      </c>
      <c r="Q4" s="14" t="s">
        <v>42</v>
      </c>
      <c r="R4" s="18">
        <v>0.8892066431433666</v>
      </c>
      <c r="S4" s="12"/>
      <c r="T4" s="12"/>
      <c r="U4" s="12"/>
      <c r="V4" s="12"/>
      <c r="W4" s="12"/>
      <c r="X4" s="12"/>
      <c r="Y4" s="12"/>
      <c r="Z4" s="12"/>
    </row>
    <row r="5">
      <c r="A5" s="19">
        <v>1.0</v>
      </c>
      <c r="B5" s="27" t="s">
        <v>43</v>
      </c>
      <c r="C5" s="21">
        <v>0.19297593293672255</v>
      </c>
      <c r="D5" s="21">
        <v>0.9081977230333826</v>
      </c>
      <c r="E5" s="21">
        <v>0.030916651600072318</v>
      </c>
      <c r="F5" s="21">
        <v>0.9690833483999277</v>
      </c>
      <c r="G5" s="21">
        <v>0.06614726215296829</v>
      </c>
      <c r="H5" s="21">
        <v>0.9338527378470317</v>
      </c>
      <c r="I5" s="21">
        <v>0.0631846551551766</v>
      </c>
      <c r="J5" s="21">
        <v>0.9368153448448234</v>
      </c>
      <c r="K5" s="21">
        <v>0.031446540880503145</v>
      </c>
      <c r="L5" s="21">
        <v>0.9685534591194969</v>
      </c>
      <c r="M5" s="17"/>
      <c r="N5" s="17"/>
      <c r="O5" s="17"/>
      <c r="P5" s="13" t="s">
        <v>38</v>
      </c>
      <c r="Q5" s="14" t="s">
        <v>44</v>
      </c>
      <c r="R5" s="18">
        <v>0.9411838693506821</v>
      </c>
      <c r="S5" s="12"/>
      <c r="T5" s="12"/>
      <c r="U5" s="12"/>
      <c r="V5" s="12"/>
      <c r="W5" s="12"/>
      <c r="X5" s="12"/>
      <c r="Y5" s="12"/>
      <c r="Z5" s="12"/>
    </row>
    <row r="6">
      <c r="A6" s="19">
        <v>2.0</v>
      </c>
      <c r="B6" s="27" t="s">
        <v>45</v>
      </c>
      <c r="C6" s="21">
        <v>1.464063248682319</v>
      </c>
      <c r="D6" s="21">
        <v>0.6253486875044704</v>
      </c>
      <c r="E6" s="21">
        <v>0.40446367214343726</v>
      </c>
      <c r="F6" s="21">
        <v>0.5955363278565627</v>
      </c>
      <c r="G6" s="21">
        <v>12.251487290427258</v>
      </c>
      <c r="H6" s="28">
        <v>-11.251487290427258</v>
      </c>
      <c r="I6" s="21">
        <v>0.6198163094906763</v>
      </c>
      <c r="J6" s="21">
        <v>0.38018369050932366</v>
      </c>
      <c r="K6" s="21">
        <v>0.07238218533630784</v>
      </c>
      <c r="L6" s="21">
        <v>0.9276178146636922</v>
      </c>
      <c r="M6" s="17"/>
      <c r="N6" s="17"/>
      <c r="O6" s="29"/>
      <c r="P6" s="13" t="s">
        <v>38</v>
      </c>
      <c r="Q6" s="14" t="s">
        <v>44</v>
      </c>
      <c r="R6" s="30">
        <v>0.9581</v>
      </c>
      <c r="S6" s="12"/>
      <c r="T6" s="31"/>
      <c r="U6" s="12"/>
      <c r="V6" s="31"/>
      <c r="W6" s="12"/>
      <c r="X6" s="31"/>
      <c r="Y6" s="12"/>
      <c r="Z6" s="12"/>
    </row>
    <row r="7">
      <c r="A7" s="19">
        <v>3.0</v>
      </c>
      <c r="B7" s="27" t="s">
        <v>46</v>
      </c>
      <c r="C7" s="21">
        <v>0.09869832641968244</v>
      </c>
      <c r="D7" s="21">
        <v>0.9601470899674631</v>
      </c>
      <c r="E7" s="21">
        <v>0.014236728245453403</v>
      </c>
      <c r="F7" s="21">
        <v>0.9857632717545466</v>
      </c>
      <c r="G7" s="21">
        <v>0.022264450621135627</v>
      </c>
      <c r="H7" s="21">
        <v>0.9777355493788644</v>
      </c>
      <c r="I7" s="21">
        <v>0.01445476413924037</v>
      </c>
      <c r="J7" s="21">
        <v>0.9855452358607596</v>
      </c>
      <c r="K7" s="21">
        <v>0.008447249622041084</v>
      </c>
      <c r="L7" s="21">
        <v>0.9915527503779589</v>
      </c>
      <c r="M7" s="17"/>
      <c r="N7" s="17"/>
      <c r="O7" s="29"/>
      <c r="S7" s="31"/>
      <c r="T7" s="31"/>
      <c r="U7" s="31"/>
      <c r="V7" s="31"/>
      <c r="W7" s="31"/>
      <c r="X7" s="31"/>
      <c r="Y7" s="31"/>
      <c r="Z7" s="12"/>
    </row>
    <row r="8">
      <c r="A8" s="19">
        <v>4.0</v>
      </c>
      <c r="B8" s="27" t="s">
        <v>47</v>
      </c>
      <c r="C8" s="21">
        <v>0.014477766287487074</v>
      </c>
      <c r="D8" s="21">
        <v>0.990728476821192</v>
      </c>
      <c r="E8" s="21">
        <v>0.022779795311984152</v>
      </c>
      <c r="F8" s="21">
        <v>0.9772202046880158</v>
      </c>
      <c r="G8" s="21">
        <v>0.05453020134228188</v>
      </c>
      <c r="H8" s="21">
        <v>0.9454697986577181</v>
      </c>
      <c r="I8" s="21">
        <v>0.016109095258981618</v>
      </c>
      <c r="J8" s="21">
        <v>0.9838909047410184</v>
      </c>
      <c r="K8" s="21">
        <v>0.01867878080349212</v>
      </c>
      <c r="L8" s="21">
        <v>0.9813212191965078</v>
      </c>
      <c r="M8" s="17"/>
      <c r="N8" s="17"/>
      <c r="O8" s="32"/>
      <c r="P8" s="33"/>
      <c r="Q8" s="33"/>
      <c r="R8" s="33"/>
      <c r="S8" s="34"/>
      <c r="T8" s="34"/>
      <c r="U8" s="34"/>
      <c r="V8" s="34"/>
      <c r="W8" s="34"/>
      <c r="X8" s="34"/>
      <c r="Y8" s="34"/>
      <c r="Z8" s="12"/>
    </row>
    <row r="9">
      <c r="A9" s="19">
        <v>5.0</v>
      </c>
      <c r="B9" s="27" t="s">
        <v>48</v>
      </c>
      <c r="C9" s="21">
        <v>0.09265460094095707</v>
      </c>
      <c r="D9" s="21">
        <v>0.9504937041398678</v>
      </c>
      <c r="E9" s="21">
        <v>0.05037234042553192</v>
      </c>
      <c r="F9" s="21">
        <v>0.949627659574468</v>
      </c>
      <c r="G9" s="21">
        <v>0.06421932212937752</v>
      </c>
      <c r="H9" s="21">
        <v>0.9357806778706225</v>
      </c>
      <c r="I9" s="21">
        <v>0.07551146807320387</v>
      </c>
      <c r="J9" s="21">
        <v>0.9244885319267961</v>
      </c>
      <c r="K9" s="21">
        <v>0.02559117916816206</v>
      </c>
      <c r="L9" s="21">
        <v>0.974408820831838</v>
      </c>
      <c r="M9" s="17"/>
      <c r="N9" s="17"/>
      <c r="O9" s="17"/>
      <c r="P9" s="17"/>
      <c r="Q9" s="17"/>
      <c r="R9" s="17"/>
      <c r="S9" s="12"/>
      <c r="T9" s="12"/>
      <c r="U9" s="12"/>
      <c r="V9" s="12"/>
      <c r="W9" s="12"/>
      <c r="X9" s="12"/>
      <c r="Y9" s="12"/>
      <c r="Z9" s="12"/>
    </row>
    <row r="10">
      <c r="A10" s="19">
        <v>6.0</v>
      </c>
      <c r="B10" s="27" t="s">
        <v>49</v>
      </c>
      <c r="C10" s="21">
        <v>0.02191087250665619</v>
      </c>
      <c r="D10" s="21">
        <v>0.9910811050901661</v>
      </c>
      <c r="E10" s="21">
        <v>0.03613587087448807</v>
      </c>
      <c r="F10" s="21">
        <v>0.9638641291255119</v>
      </c>
      <c r="G10" s="21">
        <v>0.033539928486293204</v>
      </c>
      <c r="H10" s="21">
        <v>0.9664600715137068</v>
      </c>
      <c r="I10" s="21">
        <v>0.039668895256287806</v>
      </c>
      <c r="J10" s="21">
        <v>0.9603311047437122</v>
      </c>
      <c r="K10" s="21">
        <v>0.026749052692729168</v>
      </c>
      <c r="L10" s="21">
        <v>0.9732509473072708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9">
        <v>7.0</v>
      </c>
      <c r="B11" s="27" t="s">
        <v>50</v>
      </c>
      <c r="C11" s="21">
        <v>0.09784861696805089</v>
      </c>
      <c r="D11" s="21">
        <v>0.9421043728326144</v>
      </c>
      <c r="E11" s="21">
        <v>0.0794942340338348</v>
      </c>
      <c r="F11" s="21">
        <v>0.9205057659661652</v>
      </c>
      <c r="G11" s="21">
        <v>0.14489311163895488</v>
      </c>
      <c r="H11" s="21">
        <v>0.8551068883610451</v>
      </c>
      <c r="I11" s="21">
        <v>0.3325581395348837</v>
      </c>
      <c r="J11" s="21">
        <v>0.6674418604651162</v>
      </c>
      <c r="K11" s="21">
        <v>0.16947066064833813</v>
      </c>
      <c r="L11" s="21">
        <v>0.8305293393516618</v>
      </c>
      <c r="M11" s="12"/>
      <c r="N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9">
        <v>8.0</v>
      </c>
      <c r="B12" s="27" t="s">
        <v>51</v>
      </c>
      <c r="C12" s="21">
        <v>0.0429675097893957</v>
      </c>
      <c r="D12" s="21">
        <v>0.9772348606215956</v>
      </c>
      <c r="E12" s="21">
        <v>0.018901590499688387</v>
      </c>
      <c r="F12" s="21">
        <v>0.9810984095003116</v>
      </c>
      <c r="G12" s="21">
        <v>0.02928008748996087</v>
      </c>
      <c r="H12" s="21">
        <v>0.9707199125100391</v>
      </c>
      <c r="I12" s="21">
        <v>0.021710629385621346</v>
      </c>
      <c r="J12" s="21">
        <v>0.9782893706143787</v>
      </c>
      <c r="K12" s="21">
        <v>0.03876037696830039</v>
      </c>
      <c r="L12" s="21">
        <v>0.9612396230316996</v>
      </c>
      <c r="M12" s="12"/>
      <c r="N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9">
        <v>9.0</v>
      </c>
      <c r="B13" s="27" t="s">
        <v>52</v>
      </c>
      <c r="C13" s="21">
        <v>0.04405048140020789</v>
      </c>
      <c r="D13" s="21">
        <v>0.9742479391599507</v>
      </c>
      <c r="E13" s="21">
        <v>0.010485381047375442</v>
      </c>
      <c r="F13" s="21">
        <v>0.9895146189526246</v>
      </c>
      <c r="G13" s="21">
        <v>0.008520184389545292</v>
      </c>
      <c r="H13" s="21">
        <v>0.9914798156104547</v>
      </c>
      <c r="I13" s="21">
        <v>0.0057359136454634835</v>
      </c>
      <c r="J13" s="21">
        <v>0.9942640863545366</v>
      </c>
      <c r="K13" s="21">
        <v>0.009449264717134156</v>
      </c>
      <c r="L13" s="21">
        <v>0.9905507352828659</v>
      </c>
      <c r="M13" s="12"/>
      <c r="N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9">
        <v>10.0</v>
      </c>
      <c r="B14" s="27" t="s">
        <v>53</v>
      </c>
      <c r="C14" s="21">
        <v>0.06787696152291353</v>
      </c>
      <c r="D14" s="21">
        <v>0.9608188375053034</v>
      </c>
      <c r="E14" s="21">
        <v>0.026132065276126663</v>
      </c>
      <c r="F14" s="21">
        <v>0.9738679347238733</v>
      </c>
      <c r="G14" s="21">
        <v>0.021511972248075134</v>
      </c>
      <c r="H14" s="21">
        <v>0.9784880277519249</v>
      </c>
      <c r="I14" s="21">
        <v>0.0304822662075667</v>
      </c>
      <c r="J14" s="21">
        <v>0.9695177337924333</v>
      </c>
      <c r="K14" s="21">
        <v>0.00775187548625584</v>
      </c>
      <c r="L14" s="21">
        <v>0.9922481245137441</v>
      </c>
      <c r="M14" s="12"/>
      <c r="N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9">
        <v>11.0</v>
      </c>
      <c r="B15" s="27" t="s">
        <v>54</v>
      </c>
      <c r="C15" s="21">
        <v>0.008280634459879742</v>
      </c>
      <c r="D15" s="21">
        <v>0.9957990651440743</v>
      </c>
      <c r="E15" s="21">
        <v>0.0025513830059413823</v>
      </c>
      <c r="F15" s="21">
        <v>0.9974486169940586</v>
      </c>
      <c r="G15" s="21">
        <v>0.00331969840349217</v>
      </c>
      <c r="H15" s="21">
        <v>0.9966803015965078</v>
      </c>
      <c r="I15" s="21">
        <v>0.0023705310454351786</v>
      </c>
      <c r="J15" s="21">
        <v>0.9976294689545648</v>
      </c>
      <c r="K15" s="21">
        <v>0.030767609714978137</v>
      </c>
      <c r="L15" s="21">
        <v>0.9692323902850218</v>
      </c>
      <c r="M15" s="12"/>
      <c r="N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9">
        <v>12.0</v>
      </c>
      <c r="B16" s="27" t="s">
        <v>55</v>
      </c>
      <c r="C16" s="21">
        <v>0.11494014255068853</v>
      </c>
      <c r="D16" s="21">
        <v>0.9595055829148179</v>
      </c>
      <c r="E16" s="21">
        <v>0.015919837540577797</v>
      </c>
      <c r="F16" s="21">
        <v>0.9840801624594222</v>
      </c>
      <c r="G16" s="21">
        <v>0.028413195280520106</v>
      </c>
      <c r="H16" s="21">
        <v>0.9715868047194799</v>
      </c>
      <c r="I16" s="21">
        <v>0.015075131525945095</v>
      </c>
      <c r="J16" s="21">
        <v>0.9849248684740549</v>
      </c>
      <c r="K16" s="21">
        <v>0.006264466840701844</v>
      </c>
      <c r="L16" s="21">
        <v>0.9937355331592982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9">
        <v>13.0</v>
      </c>
      <c r="B17" s="27" t="s">
        <v>56</v>
      </c>
      <c r="C17" s="21">
        <v>0.05747544561658785</v>
      </c>
      <c r="D17" s="21">
        <v>0.9840200071716884</v>
      </c>
      <c r="E17" s="21">
        <v>0.010859609021067312</v>
      </c>
      <c r="F17" s="21">
        <v>0.9891403909789327</v>
      </c>
      <c r="G17" s="21">
        <v>0.006104434647824949</v>
      </c>
      <c r="H17" s="21">
        <v>0.993895565352175</v>
      </c>
      <c r="I17" s="21">
        <v>0.008395865293659235</v>
      </c>
      <c r="J17" s="21">
        <v>0.9916041347063408</v>
      </c>
      <c r="K17" s="21">
        <v>0.011915244489008556</v>
      </c>
      <c r="L17" s="21">
        <v>0.9880847555109914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9">
        <v>14.0</v>
      </c>
      <c r="B18" s="27" t="s">
        <v>57</v>
      </c>
      <c r="C18" s="21">
        <v>0.06349920098510581</v>
      </c>
      <c r="D18" s="21">
        <v>0.9660513575388621</v>
      </c>
      <c r="E18" s="21">
        <v>0.022404896622895982</v>
      </c>
      <c r="F18" s="21">
        <v>0.977595103377104</v>
      </c>
      <c r="G18" s="21">
        <v>0.009559778118730084</v>
      </c>
      <c r="H18" s="21">
        <v>0.9904402218812699</v>
      </c>
      <c r="I18" s="21">
        <v>0.012716119426043273</v>
      </c>
      <c r="J18" s="21">
        <v>0.9872838805739568</v>
      </c>
      <c r="K18" s="21">
        <v>0.009759612988795229</v>
      </c>
      <c r="L18" s="21">
        <v>0.9902403870112048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9">
        <v>15.0</v>
      </c>
      <c r="B19" s="27" t="s">
        <v>58</v>
      </c>
      <c r="C19" s="21">
        <v>0.041447550512039855</v>
      </c>
      <c r="D19" s="21">
        <v>0.9712634356402846</v>
      </c>
      <c r="E19" s="21">
        <v>0.02903103240186686</v>
      </c>
      <c r="F19" s="21">
        <v>0.9709689675981331</v>
      </c>
      <c r="G19" s="21">
        <v>0.5754370437217267</v>
      </c>
      <c r="H19" s="21">
        <v>0.42456295627827334</v>
      </c>
      <c r="I19" s="21">
        <v>0.17106183311150713</v>
      </c>
      <c r="J19" s="21">
        <v>0.8289381668884929</v>
      </c>
      <c r="K19" s="21">
        <v>0.19108035514437066</v>
      </c>
      <c r="L19" s="21">
        <v>0.8089196448556293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9">
        <v>16.0</v>
      </c>
      <c r="B20" s="27" t="s">
        <v>59</v>
      </c>
      <c r="C20" s="21">
        <v>0.07463267490512795</v>
      </c>
      <c r="D20" s="21">
        <v>0.9493695953528286</v>
      </c>
      <c r="E20" s="21">
        <v>0.08708939396469664</v>
      </c>
      <c r="F20" s="21">
        <v>0.9129106060353034</v>
      </c>
      <c r="G20" s="21">
        <v>0.11161788926897251</v>
      </c>
      <c r="H20" s="21">
        <v>0.8883821107310275</v>
      </c>
      <c r="I20" s="21">
        <v>0.32130569226079003</v>
      </c>
      <c r="J20" s="21">
        <v>0.67869430773921</v>
      </c>
      <c r="K20" s="21">
        <v>0.037210668204654705</v>
      </c>
      <c r="L20" s="21">
        <v>0.9627893317953453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9">
        <v>17.0</v>
      </c>
      <c r="B21" s="27" t="s">
        <v>60</v>
      </c>
      <c r="C21" s="21">
        <v>0.029075003216261417</v>
      </c>
      <c r="D21" s="21">
        <v>0.9844101375494944</v>
      </c>
      <c r="E21" s="21">
        <v>0.06964039142702767</v>
      </c>
      <c r="F21" s="21">
        <v>0.9303596085729723</v>
      </c>
      <c r="G21" s="21">
        <v>0.020695932227123154</v>
      </c>
      <c r="H21" s="21">
        <v>0.9793040677728768</v>
      </c>
      <c r="I21" s="21">
        <v>0.0236769360201915</v>
      </c>
      <c r="J21" s="21">
        <v>0.9763230639798085</v>
      </c>
      <c r="K21" s="21">
        <v>0.02047998306564708</v>
      </c>
      <c r="L21" s="21">
        <v>0.979520016934353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9">
        <v>18.0</v>
      </c>
      <c r="B22" s="27" t="s">
        <v>61</v>
      </c>
      <c r="C22" s="21">
        <v>0.3047487321346243</v>
      </c>
      <c r="D22" s="21">
        <v>0.798537031392868</v>
      </c>
      <c r="E22" s="21">
        <v>0.11865821094793057</v>
      </c>
      <c r="F22" s="21">
        <v>0.8813417890520694</v>
      </c>
      <c r="G22" s="21">
        <v>0.3535123471589547</v>
      </c>
      <c r="H22" s="21">
        <v>0.6464876528410453</v>
      </c>
      <c r="I22" s="21">
        <v>0.13023489091365043</v>
      </c>
      <c r="J22" s="21">
        <v>0.8697651090863496</v>
      </c>
      <c r="K22" s="21">
        <v>0.00701982450438739</v>
      </c>
      <c r="L22" s="21">
        <v>0.9929801754956126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9">
        <v>19.0</v>
      </c>
      <c r="B23" s="27" t="s">
        <v>62</v>
      </c>
      <c r="C23" s="21">
        <v>0.06980772561926209</v>
      </c>
      <c r="D23" s="21">
        <v>0.9618611987381703</v>
      </c>
      <c r="E23" s="21">
        <v>0.02559777478649903</v>
      </c>
      <c r="F23" s="21">
        <v>0.974402225213501</v>
      </c>
      <c r="G23" s="21">
        <v>0.07533004558781162</v>
      </c>
      <c r="H23" s="21">
        <v>0.9246699544121884</v>
      </c>
      <c r="I23" s="21">
        <v>0.03734564479617782</v>
      </c>
      <c r="J23" s="21">
        <v>0.9626543552038221</v>
      </c>
      <c r="K23" s="21">
        <v>0.07569163985054964</v>
      </c>
      <c r="L23" s="21">
        <v>0.9243083601494504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9">
        <v>20.0</v>
      </c>
      <c r="B24" s="27" t="s">
        <v>63</v>
      </c>
      <c r="C24" s="21">
        <v>0.05833214675589729</v>
      </c>
      <c r="D24" s="21">
        <v>0.9668670638664977</v>
      </c>
      <c r="E24" s="21">
        <v>0.016917293233082706</v>
      </c>
      <c r="F24" s="21">
        <v>0.9830827067669173</v>
      </c>
      <c r="G24" s="21">
        <v>0.0022340006132550703</v>
      </c>
      <c r="H24" s="21">
        <v>0.9977659993867449</v>
      </c>
      <c r="I24" s="21">
        <v>0.0017634968317867263</v>
      </c>
      <c r="J24" s="21">
        <v>0.9982365031682132</v>
      </c>
      <c r="K24" s="21">
        <v>1.7274582690868145E-4</v>
      </c>
      <c r="L24" s="21">
        <v>0.9998272541730914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9">
        <v>21.0</v>
      </c>
      <c r="B25" s="27" t="s">
        <v>64</v>
      </c>
      <c r="C25" s="21">
        <v>0.06708858025358015</v>
      </c>
      <c r="D25" s="21">
        <v>0.9755613955025414</v>
      </c>
      <c r="E25" s="21">
        <v>0.028110138144485545</v>
      </c>
      <c r="F25" s="21">
        <v>0.9718898618555144</v>
      </c>
      <c r="G25" s="21">
        <v>0.4255470737913486</v>
      </c>
      <c r="H25" s="21">
        <v>0.5744529262086514</v>
      </c>
      <c r="I25" s="21">
        <v>0.3403947466053276</v>
      </c>
      <c r="J25" s="21">
        <v>0.6596052533946724</v>
      </c>
      <c r="K25" s="21">
        <v>0.30325711204846023</v>
      </c>
      <c r="L25" s="21">
        <v>0.6967428879515398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9">
        <v>22.0</v>
      </c>
      <c r="B26" s="27" t="s">
        <v>65</v>
      </c>
      <c r="C26" s="21">
        <v>0.17073480480556755</v>
      </c>
      <c r="D26" s="21">
        <v>0.9160977071033614</v>
      </c>
      <c r="E26" s="21">
        <v>0.05138045522830848</v>
      </c>
      <c r="F26" s="21">
        <v>0.9486195447716915</v>
      </c>
      <c r="G26" s="21">
        <v>0.09724958050631065</v>
      </c>
      <c r="H26" s="21">
        <v>0.9027504194936894</v>
      </c>
      <c r="I26" s="21">
        <v>0.09135256288179541</v>
      </c>
      <c r="J26" s="21">
        <v>0.9086474371182046</v>
      </c>
      <c r="K26" s="21">
        <v>0.0908974194376685</v>
      </c>
      <c r="L26" s="21">
        <v>0.9091025805623315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9">
        <v>23.0</v>
      </c>
      <c r="B27" s="27" t="s">
        <v>66</v>
      </c>
      <c r="C27" s="21">
        <v>0.0675977134358879</v>
      </c>
      <c r="D27" s="21">
        <v>0.9575594882044848</v>
      </c>
      <c r="E27" s="21">
        <v>0.013817692889470462</v>
      </c>
      <c r="F27" s="21">
        <v>0.9861823071105296</v>
      </c>
      <c r="G27" s="21">
        <v>0.016773305160195155</v>
      </c>
      <c r="H27" s="21">
        <v>0.9832266948398048</v>
      </c>
      <c r="I27" s="21">
        <v>0.023453602141621854</v>
      </c>
      <c r="J27" s="21">
        <v>0.9765463978583782</v>
      </c>
      <c r="K27" s="21">
        <v>0.02410291367346582</v>
      </c>
      <c r="L27" s="21">
        <v>0.9758970863265342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9">
        <v>24.0</v>
      </c>
      <c r="B28" s="27" t="s">
        <v>67</v>
      </c>
      <c r="C28" s="21">
        <v>0.054922231965662066</v>
      </c>
      <c r="D28" s="21">
        <v>0.9732986290304485</v>
      </c>
      <c r="E28" s="21">
        <v>0.06542763798437871</v>
      </c>
      <c r="F28" s="21">
        <v>0.9345723620156213</v>
      </c>
      <c r="G28" s="21">
        <v>0.034849339182814625</v>
      </c>
      <c r="H28" s="21">
        <v>0.9651506608171854</v>
      </c>
      <c r="I28" s="21">
        <v>0.0393174877174346</v>
      </c>
      <c r="J28" s="21">
        <v>0.9606825122825654</v>
      </c>
      <c r="K28" s="21">
        <v>0.039601181683899554</v>
      </c>
      <c r="L28" s="21">
        <v>0.9603988183161004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9">
        <v>25.0</v>
      </c>
      <c r="B29" s="27" t="s">
        <v>68</v>
      </c>
      <c r="C29" s="21">
        <v>0.1325068870523416</v>
      </c>
      <c r="D29" s="21">
        <v>0.954066236296268</v>
      </c>
      <c r="E29" s="21">
        <v>0.03767101187403201</v>
      </c>
      <c r="F29" s="21">
        <v>0.962328988125968</v>
      </c>
      <c r="G29" s="21">
        <v>0.06509809397472596</v>
      </c>
      <c r="H29" s="21">
        <v>0.934901906025274</v>
      </c>
      <c r="I29" s="21">
        <v>0.05685709026201141</v>
      </c>
      <c r="J29" s="21">
        <v>0.9431429097379886</v>
      </c>
      <c r="K29" s="21">
        <v>0.037743179033559456</v>
      </c>
      <c r="L29" s="21">
        <v>0.9622568209664405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9">
        <v>26.0</v>
      </c>
      <c r="B30" s="27" t="s">
        <v>69</v>
      </c>
      <c r="C30" s="21">
        <v>0.19329592439456586</v>
      </c>
      <c r="D30" s="21">
        <v>0.8067040756054341</v>
      </c>
      <c r="E30" s="21">
        <v>0.1579700387140212</v>
      </c>
      <c r="F30" s="21">
        <v>0.8420299612859787</v>
      </c>
      <c r="G30" s="21">
        <v>9.380524587798102E-4</v>
      </c>
      <c r="H30" s="21">
        <v>0.9990619475412202</v>
      </c>
      <c r="I30" s="21">
        <v>0.06734455070007667</v>
      </c>
      <c r="J30" s="21">
        <v>0.9326554492999233</v>
      </c>
      <c r="K30" s="21">
        <v>0.06390923963297532</v>
      </c>
      <c r="L30" s="21">
        <v>0.9360907603670247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9">
        <v>27.0</v>
      </c>
      <c r="B31" s="27" t="s">
        <v>70</v>
      </c>
      <c r="C31" s="21">
        <v>0.22177013422818792</v>
      </c>
      <c r="D31" s="21">
        <v>0.8701636767721418</v>
      </c>
      <c r="E31" s="21">
        <v>0.03836049753377654</v>
      </c>
      <c r="F31" s="21">
        <v>0.9616395024662234</v>
      </c>
      <c r="G31" s="21">
        <v>0.05677446697528852</v>
      </c>
      <c r="H31" s="21">
        <v>0.9432255330247115</v>
      </c>
      <c r="I31" s="21">
        <v>0.06626018317057127</v>
      </c>
      <c r="J31" s="21">
        <v>0.9337398168294287</v>
      </c>
      <c r="K31" s="21">
        <v>0.05910586823599996</v>
      </c>
      <c r="L31" s="21">
        <v>0.940894131764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9">
        <v>28.0</v>
      </c>
      <c r="B32" s="27" t="s">
        <v>71</v>
      </c>
      <c r="C32" s="21">
        <v>0.08016940707523668</v>
      </c>
      <c r="D32" s="21">
        <v>0.9198305929247633</v>
      </c>
      <c r="E32" s="21">
        <v>0.03279383241243297</v>
      </c>
      <c r="F32" s="21">
        <v>0.9672061675875671</v>
      </c>
      <c r="G32" s="21">
        <v>0.04938271604938271</v>
      </c>
      <c r="H32" s="21">
        <v>0.9506172839506173</v>
      </c>
      <c r="I32" s="21">
        <v>0.05639568483914467</v>
      </c>
      <c r="J32" s="21">
        <v>0.9436043151608553</v>
      </c>
      <c r="K32" s="21">
        <v>0.09234244547216752</v>
      </c>
      <c r="L32" s="21">
        <v>0.9076575545278325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9">
        <v>29.0</v>
      </c>
      <c r="B33" s="27" t="s">
        <v>72</v>
      </c>
      <c r="C33" s="21">
        <v>0.007960965588084233</v>
      </c>
      <c r="D33" s="21">
        <v>0.9975480503045163</v>
      </c>
      <c r="E33" s="21">
        <v>0.005817932922655715</v>
      </c>
      <c r="F33" s="21">
        <v>0.9941820670773442</v>
      </c>
      <c r="G33" s="21">
        <v>0.004842615012106538</v>
      </c>
      <c r="H33" s="21">
        <v>0.9951573849878934</v>
      </c>
      <c r="I33" s="21">
        <v>0.003334156581872067</v>
      </c>
      <c r="J33" s="21">
        <v>0.9966658434181279</v>
      </c>
      <c r="K33" s="21">
        <v>0.0013042132720279412</v>
      </c>
      <c r="L33" s="21">
        <v>0.9986957867279721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9">
        <v>30.0</v>
      </c>
      <c r="B34" s="27" t="s">
        <v>73</v>
      </c>
      <c r="C34" s="21">
        <v>0.0011883802816901408</v>
      </c>
      <c r="D34" s="21">
        <v>0.9988116197183099</v>
      </c>
      <c r="E34" s="21">
        <v>0.0015444492493976649</v>
      </c>
      <c r="F34" s="21">
        <v>0.9984555507506023</v>
      </c>
      <c r="G34" s="21">
        <v>0.0036370528139778348</v>
      </c>
      <c r="H34" s="21">
        <v>0.9963629471860221</v>
      </c>
      <c r="I34" s="21">
        <v>0.006366423013440227</v>
      </c>
      <c r="J34" s="21">
        <v>0.9936335769865597</v>
      </c>
      <c r="K34" s="21">
        <v>0.11360171644740556</v>
      </c>
      <c r="L34" s="21">
        <v>0.8863982835525944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9">
        <v>31.0</v>
      </c>
      <c r="B35" s="27" t="s">
        <v>74</v>
      </c>
      <c r="C35" s="21">
        <v>0.04901386447959383</v>
      </c>
      <c r="D35" s="21">
        <v>0.9720323874610013</v>
      </c>
      <c r="E35" s="21">
        <v>0.08281480531143755</v>
      </c>
      <c r="F35" s="21">
        <v>0.9171851946885624</v>
      </c>
      <c r="G35" s="21">
        <v>0.2021461716937355</v>
      </c>
      <c r="H35" s="21">
        <v>0.7978538283062645</v>
      </c>
      <c r="I35" s="21">
        <v>0.2458169799628176</v>
      </c>
      <c r="J35" s="21">
        <v>0.7541830200371824</v>
      </c>
      <c r="K35" s="21">
        <v>0.01421456153114332</v>
      </c>
      <c r="L35" s="21">
        <v>0.9857854384688567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9">
        <v>32.0</v>
      </c>
      <c r="B36" s="27" t="s">
        <v>75</v>
      </c>
      <c r="C36" s="21">
        <v>0.05434577973015375</v>
      </c>
      <c r="D36" s="21">
        <v>0.97253496558942</v>
      </c>
      <c r="E36" s="21">
        <v>0.007507017429336118</v>
      </c>
      <c r="F36" s="21">
        <v>0.9924929825706639</v>
      </c>
      <c r="G36" s="21">
        <v>0.01601468794810973</v>
      </c>
      <c r="H36" s="21">
        <v>0.9839853120518902</v>
      </c>
      <c r="I36" s="21">
        <v>0.010999505640195946</v>
      </c>
      <c r="J36" s="21">
        <v>0.9890004943598041</v>
      </c>
      <c r="K36" s="21">
        <v>0.037123665587141655</v>
      </c>
      <c r="L36" s="21">
        <v>0.9628763344128584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</sheetData>
  <mergeCells count="5">
    <mergeCell ref="C1:D1"/>
    <mergeCell ref="E1:F1"/>
    <mergeCell ref="G1:H1"/>
    <mergeCell ref="I1:J1"/>
    <mergeCell ref="K1:L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75"/>
    <col customWidth="1" min="6" max="6" width="15.25"/>
  </cols>
  <sheetData>
    <row r="1">
      <c r="A1" s="37" t="s">
        <v>76</v>
      </c>
      <c r="B1" s="37" t="s">
        <v>77</v>
      </c>
      <c r="C1" s="37" t="s">
        <v>78</v>
      </c>
      <c r="D1" s="37" t="s">
        <v>79</v>
      </c>
      <c r="E1" s="37" t="s">
        <v>80</v>
      </c>
      <c r="F1" s="37" t="s">
        <v>81</v>
      </c>
      <c r="G1" s="37" t="s">
        <v>82</v>
      </c>
      <c r="H1" s="37" t="s">
        <v>83</v>
      </c>
      <c r="I1" s="37" t="s">
        <v>84</v>
      </c>
    </row>
    <row r="2">
      <c r="A2" s="38" t="s">
        <v>43</v>
      </c>
      <c r="B2" s="37">
        <v>2023.0</v>
      </c>
      <c r="C2" s="39">
        <v>2800.0</v>
      </c>
      <c r="D2" s="39">
        <v>1114.0</v>
      </c>
      <c r="E2" s="39">
        <v>79448.0</v>
      </c>
      <c r="F2" s="39">
        <v>3301.0</v>
      </c>
      <c r="G2" s="40">
        <v>0.05140058045622283</v>
      </c>
      <c r="H2" s="40">
        <v>0.9485994195437771</v>
      </c>
      <c r="I2" s="41">
        <v>17.0</v>
      </c>
    </row>
    <row r="3">
      <c r="A3" s="38" t="s">
        <v>45</v>
      </c>
      <c r="B3" s="37">
        <v>2023.0</v>
      </c>
      <c r="C3" s="39">
        <v>27543.0</v>
      </c>
      <c r="D3" s="39">
        <v>364.0</v>
      </c>
      <c r="E3" s="39">
        <v>295594.0</v>
      </c>
      <c r="F3" s="39">
        <v>89157.0</v>
      </c>
      <c r="G3" s="40">
        <v>0.1351840997495604</v>
      </c>
      <c r="H3" s="40">
        <v>0.8648159002504396</v>
      </c>
      <c r="I3" s="41">
        <v>5.0</v>
      </c>
    </row>
    <row r="4">
      <c r="A4" s="38" t="s">
        <v>46</v>
      </c>
      <c r="B4" s="37">
        <v>2023.0</v>
      </c>
      <c r="C4" s="39"/>
      <c r="D4" s="39"/>
      <c r="E4" s="39"/>
      <c r="F4" s="39"/>
      <c r="G4" s="40"/>
      <c r="H4" s="40"/>
    </row>
    <row r="5">
      <c r="A5" s="38" t="s">
        <v>47</v>
      </c>
      <c r="B5" s="37">
        <v>2023.0</v>
      </c>
      <c r="C5" s="39">
        <v>1196.0</v>
      </c>
      <c r="D5" s="39">
        <v>39.0</v>
      </c>
      <c r="E5" s="39">
        <v>39678.0</v>
      </c>
      <c r="F5" s="39">
        <v>1313.0</v>
      </c>
      <c r="G5" s="40">
        <v>0.032190798905252185</v>
      </c>
      <c r="H5" s="40">
        <v>0.9678092010947478</v>
      </c>
      <c r="I5" s="41">
        <v>24.0</v>
      </c>
    </row>
    <row r="6">
      <c r="A6" s="42" t="s">
        <v>85</v>
      </c>
      <c r="B6" s="37">
        <v>2023.0</v>
      </c>
      <c r="C6" s="39">
        <v>4402.0</v>
      </c>
      <c r="D6" s="39">
        <v>56.0</v>
      </c>
      <c r="E6" s="39">
        <v>147860.0</v>
      </c>
      <c r="F6" s="39">
        <v>7453.0</v>
      </c>
      <c r="G6" s="40">
        <v>0.03175055374732029</v>
      </c>
      <c r="H6" s="40">
        <v>0.9682494462526797</v>
      </c>
      <c r="I6" s="41">
        <v>25.0</v>
      </c>
    </row>
    <row r="7">
      <c r="A7" s="38" t="s">
        <v>49</v>
      </c>
      <c r="B7" s="37">
        <v>2023.0</v>
      </c>
      <c r="C7" s="39">
        <v>2355.0</v>
      </c>
      <c r="D7" s="39">
        <v>0.0</v>
      </c>
      <c r="E7" s="39">
        <v>50284.0</v>
      </c>
      <c r="F7" s="39">
        <v>2654.0</v>
      </c>
      <c r="G7" s="40">
        <v>0.04944362796556792</v>
      </c>
      <c r="H7" s="40">
        <v>0.9505563720344321</v>
      </c>
      <c r="I7" s="41">
        <v>18.0</v>
      </c>
    </row>
    <row r="8">
      <c r="A8" s="38" t="s">
        <v>50</v>
      </c>
      <c r="B8" s="37">
        <v>2023.0</v>
      </c>
      <c r="C8" s="39">
        <v>6252.0</v>
      </c>
      <c r="D8" s="39">
        <v>492.0</v>
      </c>
      <c r="E8" s="39">
        <v>17009.0</v>
      </c>
      <c r="F8" s="39">
        <v>3966.0</v>
      </c>
      <c r="G8" s="40">
        <v>0.5170589588284904</v>
      </c>
      <c r="H8" s="40">
        <v>0.4829410411715096</v>
      </c>
      <c r="I8" s="41">
        <v>2.0</v>
      </c>
    </row>
    <row r="9">
      <c r="A9" s="38" t="s">
        <v>51</v>
      </c>
      <c r="B9" s="37">
        <v>2023.0</v>
      </c>
      <c r="C9" s="39">
        <v>8914.0</v>
      </c>
      <c r="D9" s="39">
        <v>2678.0</v>
      </c>
      <c r="E9" s="39">
        <v>128191.0</v>
      </c>
      <c r="F9" s="39">
        <v>4108.0</v>
      </c>
      <c r="G9" s="40">
        <v>0.09342133894248204</v>
      </c>
      <c r="H9" s="40">
        <v>0.9065786610575179</v>
      </c>
      <c r="I9" s="41">
        <v>11.0</v>
      </c>
    </row>
    <row r="10">
      <c r="A10" s="38" t="s">
        <v>52</v>
      </c>
      <c r="B10" s="37">
        <v>2023.0</v>
      </c>
      <c r="C10" s="39">
        <v>9320.0</v>
      </c>
      <c r="D10" s="39">
        <v>6992.0</v>
      </c>
      <c r="E10" s="39">
        <v>451694.0</v>
      </c>
      <c r="F10" s="39">
        <v>35172.0</v>
      </c>
      <c r="G10" s="40">
        <v>0.03916239718430239</v>
      </c>
      <c r="H10" s="40">
        <v>0.9608376028156976</v>
      </c>
      <c r="I10" s="41">
        <v>22.0</v>
      </c>
    </row>
    <row r="11">
      <c r="A11" s="38" t="s">
        <v>53</v>
      </c>
      <c r="B11" s="37">
        <v>2023.0</v>
      </c>
      <c r="C11" s="39">
        <v>2214.0</v>
      </c>
      <c r="D11" s="39">
        <v>172.0</v>
      </c>
      <c r="E11" s="39">
        <v>39845.0</v>
      </c>
      <c r="F11" s="39">
        <v>1844.0</v>
      </c>
      <c r="G11" s="40">
        <v>0.06278782137312176</v>
      </c>
      <c r="H11" s="40">
        <v>0.9372121786268782</v>
      </c>
      <c r="I11" s="41">
        <v>13.0</v>
      </c>
    </row>
    <row r="12">
      <c r="A12" s="38" t="s">
        <v>54</v>
      </c>
      <c r="B12" s="37">
        <v>2023.0</v>
      </c>
      <c r="C12" s="39">
        <v>12723.0</v>
      </c>
      <c r="D12" s="39">
        <v>1919.0</v>
      </c>
      <c r="E12" s="39">
        <v>208596.0</v>
      </c>
      <c r="F12" s="39">
        <v>69931.0</v>
      </c>
      <c r="G12" s="40">
        <v>0.10559261529585692</v>
      </c>
      <c r="H12" s="40">
        <v>0.894407384704143</v>
      </c>
      <c r="I12" s="41">
        <v>9.0</v>
      </c>
    </row>
    <row r="13">
      <c r="A13" s="38" t="s">
        <v>55</v>
      </c>
      <c r="B13" s="37">
        <v>2023.0</v>
      </c>
      <c r="C13" s="39">
        <v>1996.0</v>
      </c>
      <c r="D13" s="39">
        <v>94.0</v>
      </c>
      <c r="E13" s="39">
        <v>85062.0</v>
      </c>
      <c r="F13" s="39">
        <v>3514.0</v>
      </c>
      <c r="G13" s="40">
        <v>0.025629077353215284</v>
      </c>
      <c r="H13" s="40">
        <v>0.9743709226467847</v>
      </c>
      <c r="I13" s="41">
        <v>27.0</v>
      </c>
    </row>
    <row r="14">
      <c r="A14" s="38" t="s">
        <v>56</v>
      </c>
      <c r="B14" s="37">
        <v>2023.0</v>
      </c>
      <c r="C14" s="39">
        <v>4977.0</v>
      </c>
      <c r="D14" s="39">
        <v>811.0</v>
      </c>
      <c r="E14" s="39">
        <v>227133.0</v>
      </c>
      <c r="F14" s="39">
        <v>10614.0</v>
      </c>
      <c r="G14" s="40">
        <v>0.026732065084357493</v>
      </c>
      <c r="H14" s="40">
        <v>0.9732679349156426</v>
      </c>
      <c r="I14" s="41">
        <v>26.0</v>
      </c>
    </row>
    <row r="15">
      <c r="A15" s="38" t="s">
        <v>57</v>
      </c>
      <c r="B15" s="37">
        <v>2023.0</v>
      </c>
      <c r="C15" s="39">
        <v>6393.0</v>
      </c>
      <c r="D15" s="39">
        <v>440.0</v>
      </c>
      <c r="E15" s="39">
        <v>573165.0</v>
      </c>
      <c r="F15" s="39">
        <v>18956.0</v>
      </c>
      <c r="G15" s="40">
        <v>0.012329283717875386</v>
      </c>
      <c r="H15" s="40">
        <v>0.9876707162821247</v>
      </c>
      <c r="I15" s="41">
        <v>29.0</v>
      </c>
    </row>
    <row r="16">
      <c r="A16" s="38" t="s">
        <v>58</v>
      </c>
      <c r="B16" s="37">
        <v>2023.0</v>
      </c>
      <c r="C16" s="39">
        <v>13895.0</v>
      </c>
      <c r="D16" s="39">
        <v>6661.0</v>
      </c>
      <c r="E16" s="39">
        <v>561429.0</v>
      </c>
      <c r="F16" s="39">
        <v>48466.0</v>
      </c>
      <c r="G16" s="40">
        <v>0.04007306569869562</v>
      </c>
      <c r="H16" s="40">
        <v>0.9599269343013044</v>
      </c>
      <c r="I16" s="41">
        <v>21.0</v>
      </c>
    </row>
    <row r="17">
      <c r="A17" s="42" t="s">
        <v>86</v>
      </c>
      <c r="B17" s="37">
        <v>2023.0</v>
      </c>
      <c r="C17" s="39">
        <v>9187.0</v>
      </c>
      <c r="D17" s="39">
        <v>577.0</v>
      </c>
      <c r="E17" s="39">
        <v>68570.0</v>
      </c>
      <c r="F17" s="39">
        <v>22771.0</v>
      </c>
      <c r="G17" s="40">
        <v>0.213192427782266</v>
      </c>
      <c r="H17" s="40">
        <v>0.786807572217734</v>
      </c>
      <c r="I17" s="41">
        <v>3.0</v>
      </c>
    </row>
    <row r="18">
      <c r="A18" s="38" t="s">
        <v>60</v>
      </c>
      <c r="B18" s="37">
        <v>2023.0</v>
      </c>
      <c r="C18" s="39">
        <v>1159.0</v>
      </c>
      <c r="D18" s="39">
        <v>82.0</v>
      </c>
      <c r="E18" s="39">
        <v>82280.0</v>
      </c>
      <c r="F18" s="39">
        <v>3663.0</v>
      </c>
      <c r="G18" s="40">
        <v>0.01578538992838699</v>
      </c>
      <c r="H18" s="40">
        <v>0.984214610071613</v>
      </c>
      <c r="I18" s="41">
        <v>28.0</v>
      </c>
    </row>
    <row r="19">
      <c r="A19" s="38" t="s">
        <v>61</v>
      </c>
      <c r="B19" s="37">
        <v>2023.0</v>
      </c>
      <c r="C19" s="39">
        <v>2990.0</v>
      </c>
      <c r="D19" s="39">
        <v>203.0</v>
      </c>
      <c r="E19" s="39">
        <v>27825.0</v>
      </c>
      <c r="F19" s="39">
        <v>3102.0</v>
      </c>
      <c r="G19" s="40">
        <v>0.12915099300246735</v>
      </c>
      <c r="H19" s="40">
        <v>0.8708490069975326</v>
      </c>
      <c r="I19" s="41">
        <v>6.0</v>
      </c>
    </row>
    <row r="20">
      <c r="A20" s="38" t="s">
        <v>62</v>
      </c>
      <c r="B20" s="37">
        <v>2023.0</v>
      </c>
      <c r="C20" s="39">
        <v>12656.0</v>
      </c>
      <c r="D20" s="39">
        <v>2173.0</v>
      </c>
      <c r="E20" s="39">
        <v>291995.0</v>
      </c>
      <c r="F20" s="39">
        <v>30781.0</v>
      </c>
      <c r="G20" s="40">
        <v>0.05676954527705253</v>
      </c>
      <c r="H20" s="40">
        <v>0.9432304547229474</v>
      </c>
      <c r="I20" s="41">
        <v>15.0</v>
      </c>
    </row>
    <row r="21">
      <c r="A21" s="38" t="s">
        <v>63</v>
      </c>
      <c r="B21" s="37">
        <v>2023.0</v>
      </c>
      <c r="C21" s="39">
        <v>2604.0</v>
      </c>
      <c r="D21" s="39">
        <v>87.0</v>
      </c>
      <c r="E21" s="39">
        <v>81091.0</v>
      </c>
      <c r="F21" s="39">
        <v>7505.0</v>
      </c>
      <c r="G21" s="40">
        <v>0.03656945614654961</v>
      </c>
      <c r="H21" s="40">
        <v>0.9634305438534504</v>
      </c>
      <c r="I21" s="41">
        <v>23.0</v>
      </c>
    </row>
    <row r="22">
      <c r="A22" s="38" t="s">
        <v>64</v>
      </c>
      <c r="B22" s="37">
        <v>2023.0</v>
      </c>
      <c r="C22" s="39">
        <v>6466.0</v>
      </c>
      <c r="D22" s="39">
        <v>36.0</v>
      </c>
      <c r="E22" s="39">
        <v>160019.0</v>
      </c>
      <c r="F22" s="39">
        <v>93854.0</v>
      </c>
      <c r="G22" s="40">
        <v>0.09826947782060001</v>
      </c>
      <c r="H22" s="40">
        <v>0.9017305221794</v>
      </c>
      <c r="I22" s="41">
        <v>10.0</v>
      </c>
    </row>
    <row r="23">
      <c r="A23" s="38" t="s">
        <v>65</v>
      </c>
      <c r="B23" s="37">
        <v>2023.0</v>
      </c>
      <c r="C23" s="39">
        <v>6684.0</v>
      </c>
      <c r="D23" s="39">
        <v>754.0</v>
      </c>
      <c r="E23" s="39">
        <v>75749.0</v>
      </c>
      <c r="F23" s="39">
        <v>29127.0</v>
      </c>
      <c r="G23" s="40">
        <v>0.15953841534039723</v>
      </c>
      <c r="H23" s="40">
        <v>0.8404615846596027</v>
      </c>
      <c r="I23" s="41">
        <v>4.0</v>
      </c>
    </row>
    <row r="24">
      <c r="A24" s="38" t="s">
        <v>66</v>
      </c>
      <c r="B24" s="37">
        <v>2023.0</v>
      </c>
      <c r="C24" s="39"/>
      <c r="D24" s="39"/>
      <c r="E24" s="39"/>
      <c r="F24" s="39"/>
      <c r="G24" s="40"/>
      <c r="H24" s="40"/>
    </row>
    <row r="25">
      <c r="A25" s="38" t="s">
        <v>67</v>
      </c>
      <c r="B25" s="37">
        <v>2023.0</v>
      </c>
      <c r="C25" s="39">
        <v>3037.0</v>
      </c>
      <c r="D25" s="39">
        <v>33.0</v>
      </c>
      <c r="E25" s="39">
        <v>103910.0</v>
      </c>
      <c r="F25" s="39">
        <v>27435.0</v>
      </c>
      <c r="G25" s="40">
        <v>0.04014383785550834</v>
      </c>
      <c r="H25" s="40">
        <v>0.9598561621444917</v>
      </c>
      <c r="I25" s="41">
        <v>14.0</v>
      </c>
    </row>
    <row r="26">
      <c r="A26" s="38" t="s">
        <v>68</v>
      </c>
      <c r="B26" s="37">
        <v>2023.0</v>
      </c>
      <c r="C26" s="39">
        <v>3548.0</v>
      </c>
      <c r="D26" s="39">
        <v>635.0</v>
      </c>
      <c r="E26" s="39">
        <v>101542.0</v>
      </c>
      <c r="F26" s="39">
        <v>6781.0</v>
      </c>
      <c r="G26" s="40">
        <v>0.044142632517596904</v>
      </c>
      <c r="H26" s="40">
        <v>0.9558573674824031</v>
      </c>
      <c r="I26" s="41">
        <v>20.0</v>
      </c>
    </row>
    <row r="27">
      <c r="A27" s="38" t="s">
        <v>69</v>
      </c>
      <c r="B27" s="37">
        <v>2023.0</v>
      </c>
      <c r="C27" s="39"/>
      <c r="D27" s="39"/>
      <c r="E27" s="39"/>
      <c r="F27" s="39"/>
      <c r="G27" s="40"/>
      <c r="H27" s="40"/>
    </row>
    <row r="28">
      <c r="A28" s="38" t="s">
        <v>70</v>
      </c>
      <c r="B28" s="37">
        <v>2023.0</v>
      </c>
      <c r="C28" s="39">
        <v>3286.0</v>
      </c>
      <c r="D28" s="39">
        <v>180.0</v>
      </c>
      <c r="E28" s="39">
        <v>64720.0</v>
      </c>
      <c r="F28" s="39">
        <v>3055.0</v>
      </c>
      <c r="G28" s="40">
        <v>0.056206924511473286</v>
      </c>
      <c r="H28" s="40">
        <v>0.9437930754885268</v>
      </c>
      <c r="I28" s="41">
        <v>19.0</v>
      </c>
    </row>
    <row r="29">
      <c r="A29" s="38" t="s">
        <v>71</v>
      </c>
      <c r="B29" s="37">
        <v>2023.0</v>
      </c>
      <c r="C29" s="39">
        <v>3083.0</v>
      </c>
      <c r="D29" s="39">
        <v>387.0</v>
      </c>
      <c r="E29" s="39">
        <v>71690.0</v>
      </c>
      <c r="F29" s="39">
        <v>4512.0</v>
      </c>
      <c r="G29" s="40">
        <v>0.0516538152371312</v>
      </c>
      <c r="H29" s="40">
        <v>0.9483461847628688</v>
      </c>
      <c r="I29" s="41">
        <v>16.0</v>
      </c>
    </row>
    <row r="30">
      <c r="A30" s="38" t="s">
        <v>72</v>
      </c>
      <c r="B30" s="37">
        <v>2023.0</v>
      </c>
      <c r="C30" s="39">
        <v>886.0</v>
      </c>
      <c r="D30" s="39">
        <v>59.0</v>
      </c>
      <c r="E30" s="39">
        <v>8062.0</v>
      </c>
      <c r="F30" s="39">
        <v>79.0</v>
      </c>
      <c r="G30" s="40">
        <v>0.11837655016910936</v>
      </c>
      <c r="H30" s="40">
        <v>0.8816234498308906</v>
      </c>
      <c r="I30" s="41">
        <v>7.0</v>
      </c>
    </row>
    <row r="31">
      <c r="A31" s="42" t="s">
        <v>87</v>
      </c>
      <c r="B31" s="37">
        <v>2023.0</v>
      </c>
      <c r="C31" s="39">
        <v>10523.0</v>
      </c>
      <c r="D31" s="39">
        <v>766.0</v>
      </c>
      <c r="E31" s="39">
        <v>115423.0</v>
      </c>
      <c r="F31" s="39">
        <v>13029.0</v>
      </c>
      <c r="G31" s="40">
        <v>0.11025060062113014</v>
      </c>
      <c r="H31" s="40">
        <v>0.8897493993788699</v>
      </c>
      <c r="I31" s="41">
        <v>8.0</v>
      </c>
    </row>
    <row r="32">
      <c r="A32" s="38" t="s">
        <v>74</v>
      </c>
      <c r="B32" s="37">
        <v>2023.0</v>
      </c>
      <c r="C32" s="39">
        <v>3329.0</v>
      </c>
      <c r="D32" s="39">
        <v>296.0</v>
      </c>
      <c r="E32" s="39">
        <v>6940.0</v>
      </c>
      <c r="F32" s="39">
        <v>1355.0</v>
      </c>
      <c r="G32" s="40">
        <v>0.649059982094897</v>
      </c>
      <c r="H32" s="40">
        <v>0.350940017905103</v>
      </c>
      <c r="I32" s="41">
        <v>1.0</v>
      </c>
    </row>
    <row r="33">
      <c r="A33" s="43" t="s">
        <v>75</v>
      </c>
      <c r="B33" s="44">
        <v>2023.0</v>
      </c>
      <c r="C33" s="45">
        <v>4377.0</v>
      </c>
      <c r="D33" s="45">
        <v>912.0</v>
      </c>
      <c r="E33" s="45">
        <v>65807.0</v>
      </c>
      <c r="F33" s="45">
        <v>8557.0</v>
      </c>
      <c r="G33" s="46">
        <v>0.09238427947598253</v>
      </c>
      <c r="H33" s="46">
        <v>0.9076157205240175</v>
      </c>
      <c r="I33" s="47">
        <v>12.0</v>
      </c>
    </row>
    <row r="34">
      <c r="A34" s="38" t="s">
        <v>43</v>
      </c>
      <c r="B34" s="37">
        <v>2022.0</v>
      </c>
      <c r="C34" s="39">
        <v>2498.0</v>
      </c>
      <c r="D34" s="39">
        <v>988.0</v>
      </c>
      <c r="E34" s="39">
        <v>73436.0</v>
      </c>
      <c r="F34" s="39">
        <v>3011.0</v>
      </c>
      <c r="G34" s="40">
        <v>0.04949946751863685</v>
      </c>
      <c r="H34" s="40">
        <v>0.9505005324813631</v>
      </c>
      <c r="I34" s="41">
        <v>16.0</v>
      </c>
    </row>
    <row r="35">
      <c r="A35" s="38" t="s">
        <v>45</v>
      </c>
      <c r="B35" s="37">
        <v>2022.0</v>
      </c>
      <c r="C35" s="39">
        <v>35001.0</v>
      </c>
      <c r="D35" s="39">
        <v>513.0</v>
      </c>
      <c r="E35" s="39">
        <v>171308.0</v>
      </c>
      <c r="F35" s="39">
        <v>113387.0</v>
      </c>
      <c r="G35" s="40">
        <v>0.6131454912725954</v>
      </c>
      <c r="H35" s="40">
        <v>0.38685450872740457</v>
      </c>
      <c r="I35" s="41">
        <v>2.0</v>
      </c>
    </row>
    <row r="36">
      <c r="A36" s="38" t="s">
        <v>46</v>
      </c>
      <c r="B36" s="37">
        <v>2022.0</v>
      </c>
      <c r="C36" s="39">
        <v>3585.0</v>
      </c>
      <c r="D36" s="39">
        <v>17.0</v>
      </c>
      <c r="E36" s="39">
        <v>94957.0</v>
      </c>
      <c r="F36" s="39">
        <v>2112.0</v>
      </c>
      <c r="G36" s="40">
        <v>0.03879584253325435</v>
      </c>
      <c r="H36" s="40">
        <v>0.9612041574667457</v>
      </c>
      <c r="I36" s="41">
        <v>22.0</v>
      </c>
    </row>
    <row r="37">
      <c r="A37" s="38" t="s">
        <v>47</v>
      </c>
      <c r="B37" s="37">
        <v>2022.0</v>
      </c>
      <c r="C37" s="39">
        <v>1335.0</v>
      </c>
      <c r="D37" s="39">
        <v>3.0</v>
      </c>
      <c r="E37" s="39">
        <v>26010.0</v>
      </c>
      <c r="F37" s="39">
        <v>885.0</v>
      </c>
      <c r="G37" s="40">
        <v>0.05325373134328358</v>
      </c>
      <c r="H37" s="40">
        <v>0.9467462686567164</v>
      </c>
      <c r="I37" s="41">
        <v>13.0</v>
      </c>
    </row>
    <row r="38">
      <c r="A38" s="42" t="s">
        <v>85</v>
      </c>
      <c r="B38" s="37">
        <v>2022.0</v>
      </c>
      <c r="C38" s="39">
        <v>4011.0</v>
      </c>
      <c r="D38" s="39">
        <v>47.0</v>
      </c>
      <c r="E38" s="39">
        <v>107162.0</v>
      </c>
      <c r="F38" s="39">
        <v>6712.0</v>
      </c>
      <c r="G38" s="40">
        <v>0.04039820806371329</v>
      </c>
      <c r="H38" s="40">
        <v>0.9596017919362867</v>
      </c>
      <c r="I38" s="41">
        <v>21.0</v>
      </c>
    </row>
    <row r="39">
      <c r="A39" s="38" t="s">
        <v>49</v>
      </c>
      <c r="B39" s="37">
        <v>2022.0</v>
      </c>
      <c r="C39" s="39">
        <v>1420.0</v>
      </c>
      <c r="D39" s="39">
        <v>0.0</v>
      </c>
      <c r="E39" s="39">
        <v>50432.0</v>
      </c>
      <c r="F39" s="39">
        <v>2808.0</v>
      </c>
      <c r="G39" s="40">
        <v>0.02981689904249958</v>
      </c>
      <c r="H39" s="40">
        <v>0.9701831009575004</v>
      </c>
      <c r="I39" s="41">
        <v>25.0</v>
      </c>
    </row>
    <row r="40">
      <c r="A40" s="38" t="s">
        <v>50</v>
      </c>
      <c r="B40" s="37">
        <v>2022.0</v>
      </c>
      <c r="C40" s="39">
        <v>4229.0</v>
      </c>
      <c r="D40" s="39">
        <v>433.0</v>
      </c>
      <c r="E40" s="39">
        <v>19910.0</v>
      </c>
      <c r="F40" s="39">
        <v>5655.0</v>
      </c>
      <c r="G40" s="40">
        <v>0.3270431427569274</v>
      </c>
      <c r="H40" s="40">
        <v>0.6729568572430726</v>
      </c>
      <c r="I40" s="41">
        <v>3.0</v>
      </c>
    </row>
    <row r="41">
      <c r="A41" s="38" t="s">
        <v>51</v>
      </c>
      <c r="B41" s="37">
        <v>2022.0</v>
      </c>
      <c r="C41" s="39">
        <v>8550.0</v>
      </c>
      <c r="D41" s="39">
        <v>2719.0</v>
      </c>
      <c r="E41" s="39">
        <v>127141.0</v>
      </c>
      <c r="F41" s="39">
        <v>5136.0</v>
      </c>
      <c r="G41" s="40">
        <v>0.0923650670054506</v>
      </c>
      <c r="H41" s="40">
        <v>0.9076349329945494</v>
      </c>
      <c r="I41" s="41">
        <v>9.0</v>
      </c>
    </row>
    <row r="42">
      <c r="A42" s="38" t="s">
        <v>52</v>
      </c>
      <c r="B42" s="37">
        <v>2022.0</v>
      </c>
      <c r="C42" s="39">
        <v>8556.0</v>
      </c>
      <c r="D42" s="39">
        <v>9326.0</v>
      </c>
      <c r="E42" s="39">
        <v>447072.0</v>
      </c>
      <c r="F42" s="39">
        <v>55413.0</v>
      </c>
      <c r="G42" s="40">
        <v>0.04565706392550663</v>
      </c>
      <c r="H42" s="40">
        <v>0.9543429360744934</v>
      </c>
      <c r="I42" s="41">
        <v>18.0</v>
      </c>
    </row>
    <row r="43">
      <c r="A43" s="38" t="s">
        <v>53</v>
      </c>
      <c r="B43" s="37">
        <v>2022.0</v>
      </c>
      <c r="C43" s="39">
        <v>1915.0</v>
      </c>
      <c r="D43" s="39">
        <v>279.0</v>
      </c>
      <c r="E43" s="39">
        <v>49354.0</v>
      </c>
      <c r="F43" s="39">
        <v>1932.0</v>
      </c>
      <c r="G43" s="40">
        <v>0.04626544641727468</v>
      </c>
      <c r="H43" s="40">
        <v>0.9537345535827253</v>
      </c>
      <c r="I43" s="41">
        <v>17.0</v>
      </c>
    </row>
    <row r="44">
      <c r="A44" s="38" t="s">
        <v>54</v>
      </c>
      <c r="B44" s="37">
        <v>2022.0</v>
      </c>
      <c r="C44" s="39">
        <v>12387.0</v>
      </c>
      <c r="D44" s="39">
        <v>581.0</v>
      </c>
      <c r="E44" s="39">
        <v>196920.0</v>
      </c>
      <c r="F44" s="39">
        <v>65726.0</v>
      </c>
      <c r="G44" s="40">
        <v>0.09884598381023522</v>
      </c>
      <c r="H44" s="40">
        <v>0.9011540161897648</v>
      </c>
      <c r="I44" s="41">
        <v>7.0</v>
      </c>
    </row>
    <row r="45">
      <c r="A45" s="38" t="s">
        <v>55</v>
      </c>
      <c r="B45" s="37">
        <v>2022.0</v>
      </c>
      <c r="C45" s="39">
        <v>1665.0</v>
      </c>
      <c r="D45" s="39">
        <v>87.0</v>
      </c>
      <c r="E45" s="39">
        <v>87217.0</v>
      </c>
      <c r="F45" s="39">
        <v>5202.0</v>
      </c>
      <c r="G45" s="40">
        <v>0.02136194598549046</v>
      </c>
      <c r="H45" s="40">
        <v>0.9786380540145095</v>
      </c>
      <c r="I45" s="41">
        <v>29.0</v>
      </c>
    </row>
    <row r="46">
      <c r="A46" s="38" t="s">
        <v>56</v>
      </c>
      <c r="B46" s="37">
        <v>2022.0</v>
      </c>
      <c r="C46" s="39">
        <v>3950.0</v>
      </c>
      <c r="D46" s="39">
        <v>514.0</v>
      </c>
      <c r="E46" s="39">
        <v>211277.0</v>
      </c>
      <c r="F46" s="39">
        <v>7423.0</v>
      </c>
      <c r="G46" s="40">
        <v>0.021898025057148742</v>
      </c>
      <c r="H46" s="40">
        <v>0.9781019749428512</v>
      </c>
      <c r="I46" s="41">
        <v>27.0</v>
      </c>
    </row>
    <row r="47">
      <c r="A47" s="38" t="s">
        <v>57</v>
      </c>
      <c r="B47" s="37">
        <v>2022.0</v>
      </c>
      <c r="C47" s="39">
        <v>5674.0</v>
      </c>
      <c r="D47" s="39">
        <v>94.0</v>
      </c>
      <c r="E47" s="39">
        <v>403692.0</v>
      </c>
      <c r="F47" s="39">
        <v>28464.0</v>
      </c>
      <c r="G47" s="40">
        <v>0.01537198716513693</v>
      </c>
      <c r="H47" s="40">
        <v>0.9846280128348631</v>
      </c>
      <c r="I47" s="41">
        <v>31.0</v>
      </c>
    </row>
    <row r="48">
      <c r="A48" s="38" t="s">
        <v>58</v>
      </c>
      <c r="B48" s="37">
        <v>2022.0</v>
      </c>
      <c r="C48" s="39">
        <v>20577.0</v>
      </c>
      <c r="D48" s="39">
        <v>7249.0</v>
      </c>
      <c r="E48" s="39">
        <v>423301.0</v>
      </c>
      <c r="F48" s="39">
        <v>66894.0</v>
      </c>
      <c r="G48" s="40">
        <v>0.0780736629751941</v>
      </c>
      <c r="H48" s="40">
        <v>0.9219263370248059</v>
      </c>
      <c r="I48" s="41">
        <v>12.0</v>
      </c>
    </row>
    <row r="49">
      <c r="A49" s="42" t="s">
        <v>86</v>
      </c>
      <c r="B49" s="37">
        <v>2022.0</v>
      </c>
      <c r="C49" s="39">
        <v>8691.0</v>
      </c>
      <c r="D49" s="39">
        <v>314.0</v>
      </c>
      <c r="E49" s="39">
        <v>68667.0</v>
      </c>
      <c r="F49" s="39">
        <v>22276.0</v>
      </c>
      <c r="G49" s="40">
        <v>0.19411092668836627</v>
      </c>
      <c r="H49" s="40">
        <v>0.8058890733116337</v>
      </c>
      <c r="I49" s="41">
        <v>5.0</v>
      </c>
    </row>
    <row r="50">
      <c r="A50" s="38" t="s">
        <v>60</v>
      </c>
      <c r="B50" s="37">
        <v>2022.0</v>
      </c>
      <c r="C50" s="39">
        <v>1454.0</v>
      </c>
      <c r="D50" s="39">
        <v>194.0</v>
      </c>
      <c r="E50" s="39">
        <v>79975.0</v>
      </c>
      <c r="F50" s="39">
        <v>4284.0</v>
      </c>
      <c r="G50" s="40">
        <v>0.021772733878532454</v>
      </c>
      <c r="H50" s="40">
        <v>0.9782272661214676</v>
      </c>
      <c r="I50" s="41">
        <v>28.0</v>
      </c>
    </row>
    <row r="51">
      <c r="A51" s="38" t="s">
        <v>61</v>
      </c>
      <c r="B51" s="37">
        <v>2022.0</v>
      </c>
      <c r="C51" s="39">
        <v>40.0</v>
      </c>
      <c r="D51" s="39">
        <v>206.0</v>
      </c>
      <c r="E51" s="39">
        <v>13717.0</v>
      </c>
      <c r="F51" s="39">
        <v>1504.0</v>
      </c>
      <c r="G51" s="40">
        <v>0.020142471137312698</v>
      </c>
      <c r="H51" s="40">
        <v>0.9798575288626873</v>
      </c>
      <c r="I51" s="41">
        <v>30.0</v>
      </c>
    </row>
    <row r="52">
      <c r="A52" s="38" t="s">
        <v>62</v>
      </c>
      <c r="B52" s="37">
        <v>2022.0</v>
      </c>
      <c r="C52" s="39">
        <v>7490.0</v>
      </c>
      <c r="D52" s="39">
        <v>1081.0</v>
      </c>
      <c r="E52" s="39">
        <v>312603.0</v>
      </c>
      <c r="F52" s="39">
        <v>32322.0</v>
      </c>
      <c r="G52" s="40">
        <v>0.030580025046292827</v>
      </c>
      <c r="H52" s="40">
        <v>0.9694199749537071</v>
      </c>
      <c r="I52" s="41">
        <v>24.0</v>
      </c>
    </row>
    <row r="53">
      <c r="A53" s="38" t="s">
        <v>63</v>
      </c>
      <c r="B53" s="37">
        <v>2022.0</v>
      </c>
      <c r="C53" s="39">
        <v>3161.0</v>
      </c>
      <c r="D53" s="39">
        <v>178.0</v>
      </c>
      <c r="E53" s="39">
        <v>82239.0</v>
      </c>
      <c r="F53" s="39">
        <v>7766.0</v>
      </c>
      <c r="G53" s="40">
        <v>0.04483504088730144</v>
      </c>
      <c r="H53" s="40">
        <v>0.9551649591126986</v>
      </c>
      <c r="I53" s="41">
        <v>19.0</v>
      </c>
    </row>
    <row r="54">
      <c r="A54" s="38" t="s">
        <v>64</v>
      </c>
      <c r="B54" s="37">
        <v>2022.0</v>
      </c>
      <c r="C54" s="39">
        <v>7533.0</v>
      </c>
      <c r="D54" s="39">
        <v>255.0</v>
      </c>
      <c r="E54" s="39">
        <v>129547.0</v>
      </c>
      <c r="F54" s="39">
        <v>102329.0</v>
      </c>
      <c r="G54" s="40">
        <v>0.2861341759129988</v>
      </c>
      <c r="H54" s="40">
        <v>0.7138658240870013</v>
      </c>
      <c r="I54" s="41">
        <v>4.0</v>
      </c>
    </row>
    <row r="55">
      <c r="A55" s="38" t="s">
        <v>65</v>
      </c>
      <c r="B55" s="37">
        <v>2022.0</v>
      </c>
      <c r="C55" s="39">
        <v>6112.0</v>
      </c>
      <c r="D55" s="39">
        <v>789.0</v>
      </c>
      <c r="E55" s="39">
        <v>91573.0</v>
      </c>
      <c r="F55" s="39">
        <v>22768.0</v>
      </c>
      <c r="G55" s="40">
        <v>0.10029794346341109</v>
      </c>
      <c r="H55" s="40">
        <v>0.899702056536589</v>
      </c>
      <c r="I55" s="41">
        <v>6.0</v>
      </c>
    </row>
    <row r="56">
      <c r="A56" s="38" t="s">
        <v>66</v>
      </c>
      <c r="B56" s="37">
        <v>2022.0</v>
      </c>
      <c r="C56" s="39">
        <v>2849.0</v>
      </c>
      <c r="D56" s="39">
        <v>42.0</v>
      </c>
      <c r="E56" s="39">
        <v>87012.0</v>
      </c>
      <c r="F56" s="39">
        <v>2543.0</v>
      </c>
      <c r="G56" s="40">
        <v>0.03422557387917461</v>
      </c>
      <c r="H56" s="40">
        <v>0.9657744261208254</v>
      </c>
      <c r="I56" s="41">
        <v>23.0</v>
      </c>
    </row>
    <row r="57">
      <c r="A57" s="38" t="s">
        <v>67</v>
      </c>
      <c r="B57" s="37">
        <v>2022.0</v>
      </c>
      <c r="C57" s="39">
        <v>3378.0</v>
      </c>
      <c r="D57" s="39">
        <v>15.0</v>
      </c>
      <c r="E57" s="39">
        <v>90378.0</v>
      </c>
      <c r="F57" s="39">
        <v>14672.0</v>
      </c>
      <c r="G57" s="40">
        <v>0.04481811217076586</v>
      </c>
      <c r="H57" s="40">
        <v>0.9551818878292342</v>
      </c>
      <c r="I57" s="41">
        <v>20.0</v>
      </c>
    </row>
    <row r="58">
      <c r="A58" s="38" t="s">
        <v>68</v>
      </c>
      <c r="B58" s="37">
        <v>2022.0</v>
      </c>
      <c r="C58" s="39">
        <v>3491.0</v>
      </c>
      <c r="D58" s="39">
        <v>576.0</v>
      </c>
      <c r="E58" s="39">
        <v>89172.0</v>
      </c>
      <c r="F58" s="39">
        <v>7295.0</v>
      </c>
      <c r="G58" s="40">
        <v>0.0496720690792286</v>
      </c>
      <c r="H58" s="40">
        <v>0.9503279309207714</v>
      </c>
      <c r="I58" s="41">
        <v>15.0</v>
      </c>
    </row>
    <row r="59">
      <c r="A59" s="38" t="s">
        <v>69</v>
      </c>
      <c r="B59" s="37">
        <v>2022.0</v>
      </c>
      <c r="C59" s="39"/>
      <c r="D59" s="39"/>
      <c r="E59" s="39"/>
      <c r="F59" s="39"/>
      <c r="G59" s="40"/>
      <c r="H59" s="40"/>
    </row>
    <row r="60">
      <c r="A60" s="38" t="s">
        <v>70</v>
      </c>
      <c r="B60" s="37">
        <v>2022.0</v>
      </c>
      <c r="C60" s="39">
        <v>2906.0</v>
      </c>
      <c r="D60" s="39">
        <v>197.0</v>
      </c>
      <c r="E60" s="39">
        <v>43429.0</v>
      </c>
      <c r="F60" s="39">
        <v>3926.0</v>
      </c>
      <c r="G60" s="40">
        <v>0.07855099612687644</v>
      </c>
      <c r="H60" s="40">
        <v>0.9214490038731236</v>
      </c>
      <c r="I60" s="41">
        <v>11.0</v>
      </c>
    </row>
    <row r="61">
      <c r="A61" s="38" t="s">
        <v>71</v>
      </c>
      <c r="B61" s="37">
        <v>2022.0</v>
      </c>
      <c r="C61" s="39">
        <v>2906.0</v>
      </c>
      <c r="D61" s="39">
        <v>377.0</v>
      </c>
      <c r="E61" s="39">
        <v>65994.0</v>
      </c>
      <c r="F61" s="39">
        <v>3295.0</v>
      </c>
      <c r="G61" s="40">
        <v>0.05236128167913364</v>
      </c>
      <c r="H61" s="40">
        <v>0.9476387183208663</v>
      </c>
      <c r="I61" s="41">
        <v>14.0</v>
      </c>
    </row>
    <row r="62">
      <c r="A62" s="38" t="s">
        <v>72</v>
      </c>
      <c r="B62" s="37">
        <v>2022.0</v>
      </c>
      <c r="C62" s="39">
        <v>780.0</v>
      </c>
      <c r="D62" s="39">
        <v>0.0</v>
      </c>
      <c r="E62" s="39">
        <v>8167.0</v>
      </c>
      <c r="F62" s="39">
        <v>58.0</v>
      </c>
      <c r="G62" s="40">
        <v>0.09618941916389197</v>
      </c>
      <c r="H62" s="40">
        <v>0.903810580836108</v>
      </c>
      <c r="I62" s="41">
        <v>8.0</v>
      </c>
    </row>
    <row r="63">
      <c r="A63" s="42" t="s">
        <v>87</v>
      </c>
      <c r="B63" s="37">
        <v>2022.0</v>
      </c>
      <c r="C63" s="39">
        <v>9174.0</v>
      </c>
      <c r="D63" s="39">
        <v>125.0</v>
      </c>
      <c r="E63" s="39">
        <v>130136.0</v>
      </c>
      <c r="F63" s="39">
        <v>15106.0</v>
      </c>
      <c r="G63" s="40">
        <v>0.08083978092671477</v>
      </c>
      <c r="H63" s="40">
        <v>0.9191602190732853</v>
      </c>
      <c r="I63" s="41">
        <v>10.0</v>
      </c>
    </row>
    <row r="64">
      <c r="A64" s="38" t="s">
        <v>74</v>
      </c>
      <c r="B64" s="37">
        <v>2022.0</v>
      </c>
      <c r="C64" s="39">
        <v>3177.0</v>
      </c>
      <c r="D64" s="39">
        <v>253.0</v>
      </c>
      <c r="E64" s="39">
        <v>5205.0</v>
      </c>
      <c r="F64" s="39">
        <v>266.0</v>
      </c>
      <c r="G64" s="40">
        <v>0.6944725652966187</v>
      </c>
      <c r="H64" s="40">
        <v>0.3055274347033813</v>
      </c>
      <c r="I64" s="41">
        <v>1.0</v>
      </c>
    </row>
    <row r="65">
      <c r="A65" s="43" t="s">
        <v>75</v>
      </c>
      <c r="B65" s="44">
        <v>2022.0</v>
      </c>
      <c r="C65" s="45">
        <v>2017.0</v>
      </c>
      <c r="D65" s="45">
        <v>271.0</v>
      </c>
      <c r="E65" s="45">
        <v>99171.0</v>
      </c>
      <c r="F65" s="45">
        <v>7942.0</v>
      </c>
      <c r="G65" s="46">
        <v>0.02507974437952844</v>
      </c>
      <c r="H65" s="46">
        <v>0.9749202556204716</v>
      </c>
      <c r="I65" s="47">
        <v>26.0</v>
      </c>
    </row>
    <row r="66">
      <c r="A66" s="38" t="s">
        <v>43</v>
      </c>
      <c r="B66" s="37">
        <v>2021.0</v>
      </c>
      <c r="C66" s="39">
        <v>2342.0</v>
      </c>
      <c r="D66" s="39">
        <v>1200.0</v>
      </c>
      <c r="E66" s="39">
        <v>48197.0</v>
      </c>
      <c r="F66" s="39">
        <v>2632.0</v>
      </c>
      <c r="G66" s="40">
        <v>0.07773510369801383</v>
      </c>
      <c r="H66" s="40">
        <v>0.9222648963019862</v>
      </c>
      <c r="I66" s="41">
        <v>13.0</v>
      </c>
    </row>
    <row r="67">
      <c r="A67" s="38" t="s">
        <v>45</v>
      </c>
      <c r="B67" s="37">
        <v>2021.0</v>
      </c>
      <c r="C67" s="39"/>
      <c r="D67" s="39"/>
      <c r="E67" s="39"/>
      <c r="F67" s="39"/>
      <c r="G67" s="40"/>
      <c r="H67" s="40"/>
      <c r="I67" s="41"/>
    </row>
    <row r="68">
      <c r="A68" s="38" t="s">
        <v>46</v>
      </c>
      <c r="B68" s="37">
        <v>2021.0</v>
      </c>
      <c r="C68" s="39">
        <v>2920.0</v>
      </c>
      <c r="D68" s="39">
        <v>51.0</v>
      </c>
      <c r="E68" s="39">
        <v>37094.0</v>
      </c>
      <c r="F68" s="39">
        <v>1779.0</v>
      </c>
      <c r="G68" s="40">
        <v>0.08412855727028175</v>
      </c>
      <c r="H68" s="40">
        <v>0.9158714427297182</v>
      </c>
      <c r="I68" s="41">
        <v>12.0</v>
      </c>
    </row>
    <row r="69">
      <c r="A69" s="38" t="s">
        <v>47</v>
      </c>
      <c r="B69" s="37">
        <v>2021.0</v>
      </c>
      <c r="C69" s="39">
        <v>943.0</v>
      </c>
      <c r="D69" s="39">
        <v>29.0</v>
      </c>
      <c r="E69" s="39">
        <v>6183.0</v>
      </c>
      <c r="F69" s="39">
        <v>221.0</v>
      </c>
      <c r="G69" s="40">
        <v>0.16303253941630325</v>
      </c>
      <c r="H69" s="40">
        <v>0.8369674605836968</v>
      </c>
      <c r="I69" s="41">
        <v>4.0</v>
      </c>
    </row>
    <row r="70">
      <c r="A70" s="42" t="s">
        <v>85</v>
      </c>
      <c r="B70" s="37">
        <v>2021.0</v>
      </c>
      <c r="C70" s="39">
        <v>5216.0</v>
      </c>
      <c r="D70" s="39">
        <v>94.0</v>
      </c>
      <c r="E70" s="39">
        <v>91763.0</v>
      </c>
      <c r="F70" s="39">
        <v>6194.0</v>
      </c>
      <c r="G70" s="40">
        <v>0.062055183536093676</v>
      </c>
      <c r="H70" s="40">
        <v>0.9379448164639064</v>
      </c>
      <c r="I70" s="41">
        <v>16.0</v>
      </c>
    </row>
    <row r="71">
      <c r="A71" s="38" t="s">
        <v>49</v>
      </c>
      <c r="B71" s="37">
        <v>2021.0</v>
      </c>
      <c r="C71" s="39">
        <v>1875.0</v>
      </c>
      <c r="D71" s="39">
        <v>0.0</v>
      </c>
      <c r="E71" s="39">
        <v>43674.0</v>
      </c>
      <c r="F71" s="39">
        <v>1697.0</v>
      </c>
      <c r="G71" s="40">
        <v>0.04466731781689973</v>
      </c>
      <c r="H71" s="40">
        <v>0.9553326821831003</v>
      </c>
      <c r="I71" s="41">
        <v>22.0</v>
      </c>
    </row>
    <row r="72">
      <c r="A72" s="38" t="s">
        <v>50</v>
      </c>
      <c r="B72" s="37">
        <v>2021.0</v>
      </c>
      <c r="C72" s="39">
        <v>1541.0</v>
      </c>
      <c r="D72" s="39">
        <v>207.0</v>
      </c>
      <c r="E72" s="39">
        <v>20909.0</v>
      </c>
      <c r="F72" s="39">
        <v>7418.0</v>
      </c>
      <c r="G72" s="40">
        <v>0.12956786005485138</v>
      </c>
      <c r="H72" s="40">
        <v>0.8704321399451487</v>
      </c>
      <c r="I72" s="41">
        <v>5.0</v>
      </c>
    </row>
    <row r="73">
      <c r="A73" s="38" t="s">
        <v>51</v>
      </c>
      <c r="B73" s="37">
        <v>2021.0</v>
      </c>
      <c r="C73" s="39">
        <v>8853.0</v>
      </c>
      <c r="D73" s="39">
        <v>0.0</v>
      </c>
      <c r="E73" s="39">
        <v>123308.0</v>
      </c>
      <c r="F73" s="39">
        <v>5577.0</v>
      </c>
      <c r="G73" s="40">
        <v>0.07519684704963009</v>
      </c>
      <c r="H73" s="40">
        <v>0.92480315295037</v>
      </c>
      <c r="I73" s="41">
        <v>15.0</v>
      </c>
    </row>
    <row r="74">
      <c r="A74" s="38" t="s">
        <v>52</v>
      </c>
      <c r="B74" s="37">
        <v>2021.0</v>
      </c>
      <c r="C74" s="39">
        <v>7717.0</v>
      </c>
      <c r="D74" s="39">
        <v>11448.0</v>
      </c>
      <c r="E74" s="39">
        <v>398470.0</v>
      </c>
      <c r="F74" s="39">
        <v>40802.0</v>
      </c>
      <c r="G74" s="40">
        <v>0.053583211246183614</v>
      </c>
      <c r="H74" s="40">
        <v>0.9464167887538164</v>
      </c>
      <c r="I74" s="41">
        <v>18.0</v>
      </c>
    </row>
    <row r="75">
      <c r="A75" s="38" t="s">
        <v>53</v>
      </c>
      <c r="B75" s="37">
        <v>2021.0</v>
      </c>
      <c r="C75" s="39">
        <v>1707.0</v>
      </c>
      <c r="D75" s="39">
        <v>284.0</v>
      </c>
      <c r="E75" s="39">
        <v>49084.0</v>
      </c>
      <c r="F75" s="39">
        <v>1735.0</v>
      </c>
      <c r="G75" s="40">
        <v>0.04204946250184798</v>
      </c>
      <c r="H75" s="40">
        <v>0.9579505374981521</v>
      </c>
      <c r="I75" s="41">
        <v>23.0</v>
      </c>
    </row>
    <row r="76">
      <c r="A76" s="38" t="s">
        <v>54</v>
      </c>
      <c r="B76" s="37">
        <v>2021.0</v>
      </c>
      <c r="C76" s="39">
        <v>11943.0</v>
      </c>
      <c r="D76" s="39">
        <v>522.0</v>
      </c>
      <c r="E76" s="39">
        <v>194318.0</v>
      </c>
      <c r="F76" s="39">
        <v>62647.0</v>
      </c>
      <c r="G76" s="40">
        <v>0.0946677704278087</v>
      </c>
      <c r="H76" s="40">
        <v>0.9053322295721913</v>
      </c>
      <c r="I76" s="41">
        <v>10.0</v>
      </c>
    </row>
    <row r="77">
      <c r="A77" s="38" t="s">
        <v>55</v>
      </c>
      <c r="B77" s="37">
        <v>2021.0</v>
      </c>
      <c r="C77" s="39">
        <v>2298.0</v>
      </c>
      <c r="D77" s="39">
        <v>46.0</v>
      </c>
      <c r="E77" s="39">
        <v>92294.0</v>
      </c>
      <c r="F77" s="39">
        <v>13285.0</v>
      </c>
      <c r="G77" s="40">
        <v>0.029667506233467072</v>
      </c>
      <c r="H77" s="40">
        <v>0.970332493766533</v>
      </c>
      <c r="I77" s="41">
        <v>29.0</v>
      </c>
    </row>
    <row r="78">
      <c r="A78" s="38" t="s">
        <v>56</v>
      </c>
      <c r="B78" s="37">
        <v>2021.0</v>
      </c>
      <c r="C78" s="39">
        <v>2212.0</v>
      </c>
      <c r="D78" s="39">
        <v>489.0</v>
      </c>
      <c r="E78" s="39">
        <v>200580.0</v>
      </c>
      <c r="F78" s="39">
        <v>3019.0</v>
      </c>
      <c r="G78" s="40">
        <v>0.013671726707194234</v>
      </c>
      <c r="H78" s="40">
        <v>0.9863282732928058</v>
      </c>
      <c r="I78" s="41">
        <v>30.0</v>
      </c>
    </row>
    <row r="79">
      <c r="A79" s="38" t="s">
        <v>57</v>
      </c>
      <c r="B79" s="37">
        <v>2021.0</v>
      </c>
      <c r="C79" s="39">
        <v>8375.0</v>
      </c>
      <c r="D79" s="39">
        <v>35.0</v>
      </c>
      <c r="E79" s="39">
        <v>261802.0</v>
      </c>
      <c r="F79" s="39">
        <v>7336.0</v>
      </c>
      <c r="G79" s="40">
        <v>0.03304960191145379</v>
      </c>
      <c r="H79" s="40">
        <v>0.9669503980885462</v>
      </c>
      <c r="I79" s="41">
        <v>26.0</v>
      </c>
    </row>
    <row r="80">
      <c r="A80" s="38" t="s">
        <v>58</v>
      </c>
      <c r="B80" s="37">
        <v>2021.0</v>
      </c>
      <c r="C80" s="39">
        <v>35638.0</v>
      </c>
      <c r="D80" s="39">
        <v>6760.0</v>
      </c>
      <c r="E80" s="39">
        <v>483488.0</v>
      </c>
      <c r="F80" s="39">
        <v>62158.0</v>
      </c>
      <c r="G80" s="40">
        <v>0.10062896067215722</v>
      </c>
      <c r="H80" s="40">
        <v>0.8993710393278428</v>
      </c>
      <c r="I80" s="41">
        <v>7.0</v>
      </c>
    </row>
    <row r="81">
      <c r="A81" s="42" t="s">
        <v>86</v>
      </c>
      <c r="B81" s="37">
        <v>2021.0</v>
      </c>
      <c r="C81" s="39">
        <v>6145.0</v>
      </c>
      <c r="D81" s="39">
        <v>115.0</v>
      </c>
      <c r="E81" s="39">
        <v>69149.0</v>
      </c>
      <c r="F81" s="39">
        <v>6226.0</v>
      </c>
      <c r="G81" s="40">
        <v>0.09948667418908826</v>
      </c>
      <c r="H81" s="40">
        <v>0.9005133258109117</v>
      </c>
      <c r="I81" s="41">
        <v>8.0</v>
      </c>
    </row>
    <row r="82">
      <c r="A82" s="38" t="s">
        <v>60</v>
      </c>
      <c r="B82" s="37">
        <v>2021.0</v>
      </c>
      <c r="C82" s="39">
        <v>1937.0</v>
      </c>
      <c r="D82" s="39">
        <v>208.0</v>
      </c>
      <c r="E82" s="39">
        <v>74134.0</v>
      </c>
      <c r="F82" s="39">
        <v>2607.0</v>
      </c>
      <c r="G82" s="40">
        <v>0.029988675605016286</v>
      </c>
      <c r="H82" s="40">
        <v>0.9700113243949837</v>
      </c>
      <c r="I82" s="41">
        <v>27.0</v>
      </c>
    </row>
    <row r="83">
      <c r="A83" s="38" t="s">
        <v>61</v>
      </c>
      <c r="B83" s="37">
        <v>2021.0</v>
      </c>
      <c r="C83" s="39">
        <v>4233.0</v>
      </c>
      <c r="D83" s="39">
        <v>21.0</v>
      </c>
      <c r="E83" s="39">
        <v>8987.0</v>
      </c>
      <c r="F83" s="39">
        <v>272.0</v>
      </c>
      <c r="G83" s="40">
        <v>0.4881239242685026</v>
      </c>
      <c r="H83" s="40">
        <v>0.5118760757314974</v>
      </c>
      <c r="I83" s="41">
        <v>1.0</v>
      </c>
    </row>
    <row r="84">
      <c r="A84" s="38" t="s">
        <v>62</v>
      </c>
      <c r="B84" s="37">
        <v>2021.0</v>
      </c>
      <c r="C84" s="39">
        <v>7781.0</v>
      </c>
      <c r="D84" s="39">
        <v>1414.0</v>
      </c>
      <c r="E84" s="39">
        <v>143405.0</v>
      </c>
      <c r="F84" s="39">
        <v>21432.0</v>
      </c>
      <c r="G84" s="40">
        <v>0.07538553614324482</v>
      </c>
      <c r="H84" s="40">
        <v>0.9246144638567552</v>
      </c>
      <c r="I84" s="41">
        <v>14.0</v>
      </c>
    </row>
    <row r="85">
      <c r="A85" s="38" t="s">
        <v>63</v>
      </c>
      <c r="B85" s="37">
        <v>2021.0</v>
      </c>
      <c r="C85" s="39">
        <v>3524.0</v>
      </c>
      <c r="D85" s="39">
        <v>141.0</v>
      </c>
      <c r="E85" s="39">
        <v>71283.0</v>
      </c>
      <c r="F85" s="39">
        <v>10408.0</v>
      </c>
      <c r="G85" s="40">
        <v>0.060205338809034906</v>
      </c>
      <c r="H85" s="40">
        <v>0.9397946611909651</v>
      </c>
      <c r="I85" s="41">
        <v>17.0</v>
      </c>
    </row>
    <row r="86">
      <c r="A86" s="38" t="s">
        <v>64</v>
      </c>
      <c r="B86" s="37">
        <v>2021.0</v>
      </c>
      <c r="C86" s="39">
        <v>6935.0</v>
      </c>
      <c r="D86" s="39">
        <v>344.0</v>
      </c>
      <c r="E86" s="39">
        <v>123536.0</v>
      </c>
      <c r="F86" s="39">
        <v>104924.0</v>
      </c>
      <c r="G86" s="40">
        <v>0.3910917687513432</v>
      </c>
      <c r="H86" s="40">
        <v>0.6089082312486568</v>
      </c>
      <c r="I86" s="41">
        <v>3.0</v>
      </c>
    </row>
    <row r="87">
      <c r="A87" s="38" t="s">
        <v>65</v>
      </c>
      <c r="B87" s="37">
        <v>2021.0</v>
      </c>
      <c r="C87" s="39">
        <v>6783.0</v>
      </c>
      <c r="D87" s="39">
        <v>893.0</v>
      </c>
      <c r="E87" s="39">
        <v>84106.0</v>
      </c>
      <c r="F87" s="39">
        <v>15509.0</v>
      </c>
      <c r="G87" s="40">
        <v>0.11189993731504293</v>
      </c>
      <c r="H87" s="40">
        <v>0.8881000626849571</v>
      </c>
      <c r="I87" s="41">
        <v>6.0</v>
      </c>
    </row>
    <row r="88">
      <c r="A88" s="38" t="s">
        <v>66</v>
      </c>
      <c r="B88" s="37">
        <v>2021.0</v>
      </c>
      <c r="C88" s="39">
        <v>2880.0</v>
      </c>
      <c r="D88" s="39">
        <v>131.0</v>
      </c>
      <c r="E88" s="39">
        <v>86442.0</v>
      </c>
      <c r="F88" s="39">
        <v>2169.0</v>
      </c>
      <c r="G88" s="40">
        <v>0.03572911846024231</v>
      </c>
      <c r="H88" s="40">
        <v>0.9642708815397577</v>
      </c>
      <c r="I88" s="41">
        <v>24.0</v>
      </c>
    </row>
    <row r="89">
      <c r="A89" s="38" t="s">
        <v>67</v>
      </c>
      <c r="B89" s="37">
        <v>2021.0</v>
      </c>
      <c r="C89" s="39">
        <v>2164.0</v>
      </c>
      <c r="D89" s="39">
        <v>12.0</v>
      </c>
      <c r="E89" s="39">
        <v>81850.0</v>
      </c>
      <c r="F89" s="39">
        <v>8869.0</v>
      </c>
      <c r="G89" s="40">
        <v>0.029815979501514094</v>
      </c>
      <c r="H89" s="40">
        <v>0.970184020498486</v>
      </c>
      <c r="I89" s="41">
        <v>28.0</v>
      </c>
    </row>
    <row r="90">
      <c r="A90" s="38" t="s">
        <v>68</v>
      </c>
      <c r="B90" s="37">
        <v>2021.0</v>
      </c>
      <c r="C90" s="39">
        <v>3049.0</v>
      </c>
      <c r="D90" s="39">
        <v>512.0</v>
      </c>
      <c r="E90" s="39">
        <v>78408.0</v>
      </c>
      <c r="F90" s="39">
        <v>6525.0</v>
      </c>
      <c r="G90" s="40">
        <v>0.04953883393848337</v>
      </c>
      <c r="H90" s="40">
        <v>0.9504611660615166</v>
      </c>
      <c r="I90" s="41">
        <v>19.0</v>
      </c>
    </row>
    <row r="91">
      <c r="A91" s="38" t="s">
        <v>69</v>
      </c>
      <c r="B91" s="37">
        <v>2021.0</v>
      </c>
      <c r="C91" s="39"/>
      <c r="D91" s="39"/>
      <c r="E91" s="39"/>
      <c r="F91" s="39"/>
      <c r="G91" s="40"/>
      <c r="H91" s="40"/>
      <c r="I91" s="41"/>
    </row>
    <row r="92">
      <c r="A92" s="38" t="s">
        <v>70</v>
      </c>
      <c r="B92" s="37">
        <v>2021.0</v>
      </c>
      <c r="C92" s="39">
        <v>2733.0</v>
      </c>
      <c r="D92" s="39">
        <v>238.0</v>
      </c>
      <c r="E92" s="39">
        <v>66670.0</v>
      </c>
      <c r="F92" s="39">
        <v>5204.0</v>
      </c>
      <c r="G92" s="40">
        <v>0.04833566524582696</v>
      </c>
      <c r="H92" s="40">
        <v>0.951664334754173</v>
      </c>
      <c r="I92" s="41">
        <v>20.0</v>
      </c>
    </row>
    <row r="93">
      <c r="A93" s="38" t="s">
        <v>71</v>
      </c>
      <c r="B93" s="37">
        <v>2021.0</v>
      </c>
      <c r="C93" s="39">
        <v>2465.0</v>
      </c>
      <c r="D93" s="39">
        <v>351.0</v>
      </c>
      <c r="E93" s="39">
        <v>60002.0</v>
      </c>
      <c r="F93" s="39">
        <v>1223.0</v>
      </c>
      <c r="G93" s="40">
        <v>0.04790826655778424</v>
      </c>
      <c r="H93" s="40">
        <v>0.9520917334422158</v>
      </c>
      <c r="I93" s="41">
        <v>21.0</v>
      </c>
    </row>
    <row r="94">
      <c r="A94" s="38" t="s">
        <v>72</v>
      </c>
      <c r="B94" s="37">
        <v>2021.0</v>
      </c>
      <c r="C94" s="39">
        <v>774.0</v>
      </c>
      <c r="D94" s="39">
        <v>11.0</v>
      </c>
      <c r="E94" s="39">
        <v>8561.0</v>
      </c>
      <c r="F94" s="39">
        <v>298.0</v>
      </c>
      <c r="G94" s="40">
        <v>0.09500181532131187</v>
      </c>
      <c r="H94" s="40">
        <v>0.9049981846786881</v>
      </c>
      <c r="I94" s="41">
        <v>9.0</v>
      </c>
    </row>
    <row r="95">
      <c r="A95" s="42" t="s">
        <v>87</v>
      </c>
      <c r="B95" s="37">
        <v>2021.0</v>
      </c>
      <c r="C95" s="39">
        <v>9308.0</v>
      </c>
      <c r="D95" s="39">
        <v>77.0</v>
      </c>
      <c r="E95" s="39">
        <v>127073.0</v>
      </c>
      <c r="F95" s="39">
        <v>16251.0</v>
      </c>
      <c r="G95" s="40">
        <v>0.08468535128404107</v>
      </c>
      <c r="H95" s="40">
        <v>0.9153146487159589</v>
      </c>
      <c r="I95" s="41">
        <v>11.0</v>
      </c>
    </row>
    <row r="96">
      <c r="A96" s="38" t="s">
        <v>74</v>
      </c>
      <c r="B96" s="37">
        <v>2021.0</v>
      </c>
      <c r="C96" s="39">
        <v>2894.0</v>
      </c>
      <c r="D96" s="39">
        <v>277.0</v>
      </c>
      <c r="E96" s="39">
        <v>9750.0</v>
      </c>
      <c r="F96" s="39">
        <v>2784.0</v>
      </c>
      <c r="G96" s="40">
        <v>0.4552110249784668</v>
      </c>
      <c r="H96" s="40">
        <v>0.5447889750215331</v>
      </c>
      <c r="I96" s="41">
        <v>2.0</v>
      </c>
    </row>
    <row r="97">
      <c r="A97" s="43" t="s">
        <v>75</v>
      </c>
      <c r="B97" s="44">
        <v>2021.0</v>
      </c>
      <c r="C97" s="45">
        <v>2137.0</v>
      </c>
      <c r="D97" s="45">
        <v>561.0</v>
      </c>
      <c r="E97" s="45">
        <v>84466.0</v>
      </c>
      <c r="F97" s="45">
        <v>8434.0</v>
      </c>
      <c r="G97" s="46">
        <v>0.035485058922558925</v>
      </c>
      <c r="H97" s="46">
        <v>0.9645149410774411</v>
      </c>
      <c r="I97" s="47">
        <v>25.0</v>
      </c>
    </row>
    <row r="98">
      <c r="A98" s="38" t="s">
        <v>43</v>
      </c>
      <c r="B98" s="37">
        <v>2020.0</v>
      </c>
      <c r="C98" s="39">
        <v>2408.0</v>
      </c>
      <c r="D98" s="39">
        <v>805.0</v>
      </c>
      <c r="E98" s="39">
        <v>106842.0</v>
      </c>
      <c r="F98" s="39">
        <v>1694.0</v>
      </c>
      <c r="G98" s="40">
        <v>0.030556929280633013</v>
      </c>
      <c r="H98" s="40">
        <v>0.969443070719367</v>
      </c>
      <c r="I98" s="41">
        <v>13.0</v>
      </c>
    </row>
    <row r="99">
      <c r="A99" s="38" t="s">
        <v>45</v>
      </c>
      <c r="B99" s="37">
        <v>2020.0</v>
      </c>
      <c r="C99" s="39">
        <v>25235.0</v>
      </c>
      <c r="D99" s="39">
        <v>176.0</v>
      </c>
      <c r="E99" s="39">
        <v>159623.0</v>
      </c>
      <c r="F99" s="39">
        <v>95107.0</v>
      </c>
      <c r="G99" s="40">
        <v>0.39387128774257546</v>
      </c>
      <c r="H99" s="40">
        <v>0.6061287122574246</v>
      </c>
      <c r="I99" s="41">
        <v>1.0</v>
      </c>
    </row>
    <row r="100">
      <c r="A100" s="38" t="s">
        <v>46</v>
      </c>
      <c r="B100" s="37">
        <v>2020.0</v>
      </c>
      <c r="C100" s="39">
        <v>385.0</v>
      </c>
      <c r="D100" s="39">
        <v>51.0</v>
      </c>
      <c r="E100" s="39">
        <v>57493.0</v>
      </c>
      <c r="F100" s="39">
        <v>1718.0</v>
      </c>
      <c r="G100" s="40">
        <v>0.007817122366651726</v>
      </c>
      <c r="H100" s="40">
        <v>0.9921828776333482</v>
      </c>
      <c r="I100" s="41">
        <v>27.0</v>
      </c>
    </row>
    <row r="101">
      <c r="A101" s="38" t="s">
        <v>47</v>
      </c>
      <c r="B101" s="37">
        <v>2020.0</v>
      </c>
      <c r="C101" s="39">
        <v>43.0</v>
      </c>
      <c r="D101" s="39">
        <v>28.0</v>
      </c>
      <c r="E101" s="39">
        <v>3060.0</v>
      </c>
      <c r="F101" s="39">
        <v>31.0</v>
      </c>
      <c r="G101" s="40">
        <v>0.02344007923407065</v>
      </c>
      <c r="H101" s="40">
        <v>0.9765599207659293</v>
      </c>
      <c r="I101" s="41">
        <v>17.0</v>
      </c>
    </row>
    <row r="102">
      <c r="A102" s="42" t="s">
        <v>85</v>
      </c>
      <c r="B102" s="37">
        <v>2020.0</v>
      </c>
      <c r="C102" s="39">
        <v>4797.0</v>
      </c>
      <c r="D102" s="39">
        <v>96.0</v>
      </c>
      <c r="E102" s="39">
        <v>80013.0</v>
      </c>
      <c r="F102" s="39">
        <v>4264.0</v>
      </c>
      <c r="G102" s="40">
        <v>0.0645949121440547</v>
      </c>
      <c r="H102" s="40">
        <v>0.9354050878559453</v>
      </c>
      <c r="I102" s="41">
        <v>4.0</v>
      </c>
    </row>
    <row r="103">
      <c r="A103" s="38" t="s">
        <v>49</v>
      </c>
      <c r="B103" s="37">
        <v>2020.0</v>
      </c>
      <c r="C103" s="39">
        <v>1620.0</v>
      </c>
      <c r="D103" s="39">
        <v>19.0</v>
      </c>
      <c r="E103" s="39">
        <v>47787.0</v>
      </c>
      <c r="F103" s="39">
        <v>2074.0</v>
      </c>
      <c r="G103" s="40">
        <v>0.035854133397501806</v>
      </c>
      <c r="H103" s="40">
        <v>0.9641458666024982</v>
      </c>
      <c r="I103" s="41">
        <v>10.0</v>
      </c>
    </row>
    <row r="104">
      <c r="A104" s="38" t="s">
        <v>50</v>
      </c>
      <c r="B104" s="37">
        <v>2020.0</v>
      </c>
      <c r="C104" s="39">
        <v>1211.0</v>
      </c>
      <c r="D104" s="39">
        <v>177.0</v>
      </c>
      <c r="E104" s="39">
        <v>24125.0</v>
      </c>
      <c r="F104" s="39">
        <v>7034.0</v>
      </c>
      <c r="G104" s="40">
        <v>0.08121233397694694</v>
      </c>
      <c r="H104" s="40">
        <v>0.9187876660230531</v>
      </c>
      <c r="I104" s="41">
        <v>3.0</v>
      </c>
    </row>
    <row r="105">
      <c r="A105" s="38" t="s">
        <v>51</v>
      </c>
      <c r="B105" s="37">
        <v>2020.0</v>
      </c>
      <c r="C105" s="39">
        <v>1567.0</v>
      </c>
      <c r="D105" s="39">
        <v>0.0</v>
      </c>
      <c r="E105" s="39">
        <v>121816.0</v>
      </c>
      <c r="F105" s="39">
        <v>4389.0</v>
      </c>
      <c r="G105" s="40">
        <v>0.013344460813952498</v>
      </c>
      <c r="H105" s="40">
        <v>0.9866555391860475</v>
      </c>
      <c r="I105" s="41">
        <v>23.0</v>
      </c>
    </row>
    <row r="106">
      <c r="A106" s="38" t="s">
        <v>52</v>
      </c>
      <c r="B106" s="37">
        <v>2020.0</v>
      </c>
      <c r="C106" s="39">
        <v>6394.0</v>
      </c>
      <c r="D106" s="39">
        <v>7167.0</v>
      </c>
      <c r="E106" s="39">
        <v>362426.0</v>
      </c>
      <c r="F106" s="39">
        <v>35223.0</v>
      </c>
      <c r="G106" s="40">
        <v>0.04144521902305297</v>
      </c>
      <c r="H106" s="40">
        <v>0.958554780976947</v>
      </c>
      <c r="I106" s="41">
        <v>8.0</v>
      </c>
    </row>
    <row r="107">
      <c r="A107" s="38" t="s">
        <v>53</v>
      </c>
      <c r="B107" s="37">
        <v>2020.0</v>
      </c>
      <c r="C107" s="39">
        <v>1051.0</v>
      </c>
      <c r="D107" s="39">
        <v>202.0</v>
      </c>
      <c r="E107" s="39">
        <v>47711.0</v>
      </c>
      <c r="F107" s="39">
        <v>1318.0</v>
      </c>
      <c r="G107" s="40">
        <v>0.02700838488565085</v>
      </c>
      <c r="H107" s="40">
        <v>0.9729916151143492</v>
      </c>
      <c r="I107" s="41">
        <v>15.0</v>
      </c>
    </row>
    <row r="108">
      <c r="A108" s="38" t="s">
        <v>54</v>
      </c>
      <c r="B108" s="37">
        <v>2020.0</v>
      </c>
      <c r="C108" s="39">
        <v>162.0</v>
      </c>
      <c r="D108" s="39">
        <v>633.0</v>
      </c>
      <c r="E108" s="39">
        <v>190160.0</v>
      </c>
      <c r="F108" s="39">
        <v>48998.0</v>
      </c>
      <c r="G108" s="40">
        <v>0.005631827262294385</v>
      </c>
      <c r="H108" s="40">
        <v>0.9943681727377056</v>
      </c>
      <c r="I108" s="41">
        <v>28.0</v>
      </c>
    </row>
    <row r="109">
      <c r="A109" s="38" t="s">
        <v>55</v>
      </c>
      <c r="B109" s="37">
        <v>2020.0</v>
      </c>
      <c r="C109" s="39">
        <v>901.0</v>
      </c>
      <c r="D109" s="39">
        <v>49.0</v>
      </c>
      <c r="E109" s="39">
        <v>82678.0</v>
      </c>
      <c r="F109" s="39">
        <v>15141.0</v>
      </c>
      <c r="G109" s="40">
        <v>0.014066363622903002</v>
      </c>
      <c r="H109" s="40">
        <v>0.985933636377097</v>
      </c>
      <c r="I109" s="41">
        <v>22.0</v>
      </c>
    </row>
    <row r="110">
      <c r="A110" s="38" t="s">
        <v>56</v>
      </c>
      <c r="B110" s="37">
        <v>2020.0</v>
      </c>
      <c r="C110" s="39">
        <v>964.0</v>
      </c>
      <c r="D110" s="39">
        <v>240.0</v>
      </c>
      <c r="E110" s="39">
        <v>124269.0</v>
      </c>
      <c r="F110" s="39">
        <v>2858.0</v>
      </c>
      <c r="G110" s="40">
        <v>0.00991672912668539</v>
      </c>
      <c r="H110" s="40">
        <v>0.9900832708733146</v>
      </c>
      <c r="I110" s="41">
        <v>26.0</v>
      </c>
    </row>
    <row r="111">
      <c r="A111" s="38" t="s">
        <v>57</v>
      </c>
      <c r="B111" s="37">
        <v>2020.0</v>
      </c>
      <c r="C111" s="39">
        <v>3017.0</v>
      </c>
      <c r="D111" s="39">
        <v>27.0</v>
      </c>
      <c r="E111" s="39">
        <v>284270.0</v>
      </c>
      <c r="F111" s="39">
        <v>3113.0</v>
      </c>
      <c r="G111" s="40">
        <v>0.010826691136980406</v>
      </c>
      <c r="H111" s="40">
        <v>0.9891733088630196</v>
      </c>
      <c r="I111" s="41">
        <v>25.0</v>
      </c>
    </row>
    <row r="112">
      <c r="A112" s="38" t="s">
        <v>58</v>
      </c>
      <c r="B112" s="37">
        <v>2020.0</v>
      </c>
      <c r="C112" s="39">
        <v>8456.0</v>
      </c>
      <c r="D112" s="39">
        <v>4483.0</v>
      </c>
      <c r="E112" s="39">
        <v>514862.0</v>
      </c>
      <c r="F112" s="39">
        <v>22354.0</v>
      </c>
      <c r="G112" s="40">
        <v>0.02627165447058728</v>
      </c>
      <c r="H112" s="40">
        <v>0.9737283455294127</v>
      </c>
      <c r="I112" s="41">
        <v>16.0</v>
      </c>
    </row>
    <row r="113">
      <c r="A113" s="42" t="s">
        <v>86</v>
      </c>
      <c r="B113" s="37">
        <v>2020.0</v>
      </c>
      <c r="C113" s="39">
        <v>5473.0</v>
      </c>
      <c r="D113" s="39">
        <v>0.0</v>
      </c>
      <c r="E113" s="39">
        <v>65284.0</v>
      </c>
      <c r="F113" s="39">
        <v>5403.0</v>
      </c>
      <c r="G113" s="40">
        <v>0.09139793924617157</v>
      </c>
      <c r="H113" s="40">
        <v>0.9086020607538284</v>
      </c>
      <c r="I113" s="41">
        <v>2.0</v>
      </c>
    </row>
    <row r="114">
      <c r="A114" s="38" t="s">
        <v>60</v>
      </c>
      <c r="B114" s="37">
        <v>2020.0</v>
      </c>
      <c r="C114" s="39">
        <v>2539.0</v>
      </c>
      <c r="D114" s="39">
        <v>99.0</v>
      </c>
      <c r="E114" s="39">
        <v>71159.0</v>
      </c>
      <c r="F114" s="39">
        <v>4475.0</v>
      </c>
      <c r="G114" s="40">
        <v>0.0395597144742367</v>
      </c>
      <c r="H114" s="40">
        <v>0.9604402855257633</v>
      </c>
      <c r="I114" s="41">
        <v>9.0</v>
      </c>
    </row>
    <row r="115">
      <c r="A115" s="38" t="s">
        <v>61</v>
      </c>
      <c r="B115" s="37">
        <v>2020.0</v>
      </c>
      <c r="C115" s="39">
        <v>209.0</v>
      </c>
      <c r="D115" s="39">
        <v>0.0</v>
      </c>
      <c r="E115" s="39">
        <v>6267.0</v>
      </c>
      <c r="F115" s="39">
        <v>250.0</v>
      </c>
      <c r="G115" s="40">
        <v>0.03473491773308958</v>
      </c>
      <c r="H115" s="40">
        <v>0.9652650822669104</v>
      </c>
      <c r="I115" s="41">
        <v>11.0</v>
      </c>
    </row>
    <row r="116">
      <c r="A116" s="38" t="s">
        <v>62</v>
      </c>
      <c r="B116" s="37">
        <v>2020.0</v>
      </c>
      <c r="C116" s="39">
        <v>1497.0</v>
      </c>
      <c r="D116" s="39">
        <v>1251.0</v>
      </c>
      <c r="E116" s="39">
        <v>187901.0</v>
      </c>
      <c r="F116" s="39">
        <v>8717.0</v>
      </c>
      <c r="G116" s="40">
        <v>0.015336190731315296</v>
      </c>
      <c r="H116" s="40">
        <v>0.9846638092686847</v>
      </c>
      <c r="I116" s="41">
        <v>21.0</v>
      </c>
    </row>
    <row r="117">
      <c r="A117" s="38" t="s">
        <v>63</v>
      </c>
      <c r="B117" s="37">
        <v>2020.0</v>
      </c>
      <c r="C117" s="39">
        <v>979.0</v>
      </c>
      <c r="D117" s="39">
        <v>0.0</v>
      </c>
      <c r="E117" s="39">
        <v>72506.0</v>
      </c>
      <c r="F117" s="39">
        <v>9718.0</v>
      </c>
      <c r="G117" s="40">
        <v>0.015592151366503153</v>
      </c>
      <c r="H117" s="40">
        <v>0.9844078486334968</v>
      </c>
      <c r="I117" s="41">
        <v>20.0</v>
      </c>
    </row>
    <row r="118">
      <c r="A118" s="38" t="s">
        <v>64</v>
      </c>
      <c r="B118" s="37">
        <v>2020.0</v>
      </c>
      <c r="C118" s="39">
        <v>2785.0</v>
      </c>
      <c r="D118" s="39">
        <v>88.0</v>
      </c>
      <c r="E118" s="39">
        <v>137442.0</v>
      </c>
      <c r="F118" s="39">
        <v>31280.0</v>
      </c>
      <c r="G118" s="40">
        <v>0.0270624140464573</v>
      </c>
      <c r="H118" s="40">
        <v>0.9729375859535427</v>
      </c>
      <c r="I118" s="41">
        <v>14.0</v>
      </c>
    </row>
    <row r="119">
      <c r="A119" s="38" t="s">
        <v>65</v>
      </c>
      <c r="B119" s="37">
        <v>2020.0</v>
      </c>
      <c r="C119" s="39">
        <v>4006.0</v>
      </c>
      <c r="D119" s="39">
        <v>891.0</v>
      </c>
      <c r="E119" s="39">
        <v>94055.0</v>
      </c>
      <c r="F119" s="39">
        <v>14816.0</v>
      </c>
      <c r="G119" s="40">
        <v>0.06180037607743662</v>
      </c>
      <c r="H119" s="40">
        <v>0.9381996239225634</v>
      </c>
      <c r="I119" s="41">
        <v>6.0</v>
      </c>
    </row>
    <row r="120">
      <c r="A120" s="38" t="s">
        <v>66</v>
      </c>
      <c r="B120" s="37">
        <v>2020.0</v>
      </c>
      <c r="C120" s="39">
        <v>871.0</v>
      </c>
      <c r="D120" s="39">
        <v>86.0</v>
      </c>
      <c r="E120" s="39">
        <v>83585.0</v>
      </c>
      <c r="F120" s="39">
        <v>286.0</v>
      </c>
      <c r="G120" s="40">
        <v>0.011488733358143556</v>
      </c>
      <c r="H120" s="40">
        <v>0.9885112666418564</v>
      </c>
      <c r="I120" s="41">
        <v>24.0</v>
      </c>
    </row>
    <row r="121">
      <c r="A121" s="38" t="s">
        <v>67</v>
      </c>
      <c r="B121" s="37">
        <v>2020.0</v>
      </c>
      <c r="C121" s="39">
        <v>2505.0</v>
      </c>
      <c r="D121" s="39">
        <v>0.0</v>
      </c>
      <c r="E121" s="39">
        <v>71103.0</v>
      </c>
      <c r="F121" s="39">
        <v>24384.0</v>
      </c>
      <c r="G121" s="40">
        <v>0.05361844217556026</v>
      </c>
      <c r="H121" s="40">
        <v>0.9463815578244398</v>
      </c>
      <c r="I121" s="41">
        <v>7.0</v>
      </c>
    </row>
    <row r="122">
      <c r="A122" s="38" t="s">
        <v>68</v>
      </c>
      <c r="B122" s="37">
        <v>2020.0</v>
      </c>
      <c r="C122" s="39">
        <v>581.0</v>
      </c>
      <c r="D122" s="39">
        <v>500.0</v>
      </c>
      <c r="E122" s="39">
        <v>68552.0</v>
      </c>
      <c r="F122" s="39">
        <v>6398.0</v>
      </c>
      <c r="G122" s="40">
        <v>0.017392283682466134</v>
      </c>
      <c r="H122" s="40">
        <v>0.9826077163175339</v>
      </c>
      <c r="I122" s="41">
        <v>19.0</v>
      </c>
    </row>
    <row r="123">
      <c r="A123" s="38" t="s">
        <v>69</v>
      </c>
      <c r="B123" s="37">
        <v>2020.0</v>
      </c>
      <c r="C123" s="39"/>
      <c r="D123" s="39"/>
      <c r="E123" s="39"/>
      <c r="F123" s="39"/>
      <c r="G123" s="40"/>
      <c r="H123" s="40"/>
      <c r="I123" s="41"/>
    </row>
    <row r="124">
      <c r="A124" s="38" t="s">
        <v>70</v>
      </c>
      <c r="B124" s="37">
        <v>2020.0</v>
      </c>
      <c r="C124" s="39"/>
      <c r="D124" s="39"/>
      <c r="E124" s="39"/>
      <c r="F124" s="39"/>
      <c r="G124" s="40"/>
      <c r="H124" s="40"/>
      <c r="I124" s="41"/>
    </row>
    <row r="125">
      <c r="A125" s="38" t="s">
        <v>71</v>
      </c>
      <c r="B125" s="37">
        <v>2020.0</v>
      </c>
      <c r="C125" s="39">
        <v>1751.0</v>
      </c>
      <c r="D125" s="39">
        <v>274.0</v>
      </c>
      <c r="E125" s="39">
        <v>62603.0</v>
      </c>
      <c r="F125" s="39">
        <v>1171.0</v>
      </c>
      <c r="G125" s="40">
        <v>0.03296327646829014</v>
      </c>
      <c r="H125" s="40">
        <v>0.9670367235317099</v>
      </c>
      <c r="I125" s="41">
        <v>12.0</v>
      </c>
    </row>
    <row r="126">
      <c r="A126" s="38" t="s">
        <v>72</v>
      </c>
      <c r="B126" s="37">
        <v>2020.0</v>
      </c>
      <c r="C126" s="39">
        <v>77.0</v>
      </c>
      <c r="D126" s="39">
        <v>25.0</v>
      </c>
      <c r="E126" s="39">
        <v>6142.0</v>
      </c>
      <c r="F126" s="39">
        <v>297.0</v>
      </c>
      <c r="G126" s="40">
        <v>0.0174508126603935</v>
      </c>
      <c r="H126" s="40">
        <v>0.9825491873396065</v>
      </c>
      <c r="I126" s="41">
        <v>18.0</v>
      </c>
    </row>
    <row r="127">
      <c r="A127" s="42" t="s">
        <v>87</v>
      </c>
      <c r="B127" s="37">
        <v>2020.0</v>
      </c>
      <c r="C127" s="39">
        <v>91.0</v>
      </c>
      <c r="D127" s="39">
        <v>79.0</v>
      </c>
      <c r="E127" s="39">
        <v>143946.0</v>
      </c>
      <c r="F127" s="39">
        <v>14431.0</v>
      </c>
      <c r="G127" s="40">
        <v>0.0013125892753735088</v>
      </c>
      <c r="H127" s="40">
        <v>0.9986874107246265</v>
      </c>
      <c r="I127" s="41">
        <v>30.0</v>
      </c>
    </row>
    <row r="128">
      <c r="A128" s="38" t="s">
        <v>74</v>
      </c>
      <c r="B128" s="37">
        <v>2020.0</v>
      </c>
      <c r="C128" s="39">
        <v>802.0</v>
      </c>
      <c r="D128" s="39">
        <v>206.0</v>
      </c>
      <c r="E128" s="39">
        <v>17646.0</v>
      </c>
      <c r="F128" s="39">
        <v>2033.0</v>
      </c>
      <c r="G128" s="40">
        <v>0.06456158329597131</v>
      </c>
      <c r="H128" s="40">
        <v>0.9354384167040287</v>
      </c>
      <c r="I128" s="41">
        <v>5.0</v>
      </c>
    </row>
    <row r="129">
      <c r="A129" s="43" t="s">
        <v>75</v>
      </c>
      <c r="B129" s="44">
        <v>2020.0</v>
      </c>
      <c r="C129" s="45">
        <v>19.0</v>
      </c>
      <c r="D129" s="45">
        <v>74.0</v>
      </c>
      <c r="E129" s="45">
        <v>68487.0</v>
      </c>
      <c r="F129" s="45">
        <v>6377.0</v>
      </c>
      <c r="G129" s="46">
        <v>0.0014973434229592659</v>
      </c>
      <c r="H129" s="46">
        <v>0.9985026565770407</v>
      </c>
      <c r="I129" s="47">
        <v>29.0</v>
      </c>
    </row>
    <row r="130">
      <c r="A130" s="38" t="s">
        <v>43</v>
      </c>
      <c r="B130" s="37">
        <v>2019.0</v>
      </c>
      <c r="C130" s="39">
        <v>2151.0</v>
      </c>
      <c r="D130" s="39">
        <v>999.0</v>
      </c>
      <c r="E130" s="39">
        <v>68809.0</v>
      </c>
      <c r="F130" s="39">
        <v>6197.0</v>
      </c>
      <c r="G130" s="40">
        <v>0.05030984475819332</v>
      </c>
      <c r="H130" s="40">
        <v>0.9496901552418067</v>
      </c>
      <c r="I130" s="41">
        <v>19.0</v>
      </c>
    </row>
    <row r="131">
      <c r="A131" s="38" t="s">
        <v>45</v>
      </c>
      <c r="B131" s="37">
        <v>2019.0</v>
      </c>
      <c r="C131" s="39">
        <v>49592.0</v>
      </c>
      <c r="D131" s="39">
        <v>448.0</v>
      </c>
      <c r="E131" s="39">
        <v>169469.0</v>
      </c>
      <c r="F131" s="39">
        <v>70714.0</v>
      </c>
      <c r="G131" s="40">
        <v>0.5067085210875398</v>
      </c>
      <c r="H131" s="40">
        <v>0.49329147891246017</v>
      </c>
      <c r="I131" s="41">
        <v>2.0</v>
      </c>
    </row>
    <row r="132">
      <c r="A132" s="38" t="s">
        <v>46</v>
      </c>
      <c r="B132" s="37">
        <v>2019.0</v>
      </c>
      <c r="C132" s="39">
        <v>2010.0</v>
      </c>
      <c r="D132" s="39">
        <v>81.0</v>
      </c>
      <c r="E132" s="39">
        <v>54012.0</v>
      </c>
      <c r="F132" s="39">
        <v>1941.0</v>
      </c>
      <c r="G132" s="40">
        <v>0.040156709108716944</v>
      </c>
      <c r="H132" s="40">
        <v>0.9598432908912831</v>
      </c>
      <c r="I132" s="41">
        <v>25.0</v>
      </c>
    </row>
    <row r="133">
      <c r="A133" s="38" t="s">
        <v>47</v>
      </c>
      <c r="B133" s="37">
        <v>2019.0</v>
      </c>
      <c r="C133" s="39">
        <v>1086.0</v>
      </c>
      <c r="D133" s="39">
        <v>39.0</v>
      </c>
      <c r="E133" s="39">
        <v>3162.0</v>
      </c>
      <c r="F133" s="39">
        <v>141.0</v>
      </c>
      <c r="G133" s="40">
        <v>0.3723932472691162</v>
      </c>
      <c r="H133" s="40">
        <v>0.6276067527308837</v>
      </c>
      <c r="I133" s="41">
        <v>3.0</v>
      </c>
    </row>
    <row r="134">
      <c r="A134" s="42" t="s">
        <v>85</v>
      </c>
      <c r="B134" s="37">
        <v>2019.0</v>
      </c>
      <c r="C134" s="39">
        <v>4577.0</v>
      </c>
      <c r="D134" s="39">
        <v>91.0</v>
      </c>
      <c r="E134" s="39">
        <v>92832.0</v>
      </c>
      <c r="F134" s="39">
        <v>3840.0</v>
      </c>
      <c r="G134" s="40">
        <v>0.05245415318230852</v>
      </c>
      <c r="H134" s="40">
        <v>0.9475458468176915</v>
      </c>
      <c r="I134" s="41">
        <v>18.0</v>
      </c>
    </row>
    <row r="135">
      <c r="A135" s="38" t="s">
        <v>49</v>
      </c>
      <c r="B135" s="37">
        <v>2019.0</v>
      </c>
      <c r="C135" s="39">
        <v>1852.0</v>
      </c>
      <c r="D135" s="39">
        <v>27.0</v>
      </c>
      <c r="E135" s="39">
        <v>60257.0</v>
      </c>
      <c r="F135" s="39">
        <v>3906.0</v>
      </c>
      <c r="G135" s="40">
        <v>0.03334457241220209</v>
      </c>
      <c r="H135" s="40">
        <v>0.9666554275877979</v>
      </c>
      <c r="I135" s="41">
        <v>27.0</v>
      </c>
    </row>
    <row r="136">
      <c r="A136" s="38" t="s">
        <v>50</v>
      </c>
      <c r="B136" s="37">
        <v>2019.0</v>
      </c>
      <c r="C136" s="39">
        <v>905.0</v>
      </c>
      <c r="D136" s="39">
        <v>90.0</v>
      </c>
      <c r="E136" s="39">
        <v>31155.0</v>
      </c>
      <c r="F136" s="39">
        <v>7492.0</v>
      </c>
      <c r="G136" s="40">
        <v>0.042048768119004355</v>
      </c>
      <c r="H136" s="40">
        <v>0.9579512318809956</v>
      </c>
      <c r="I136" s="41">
        <v>23.0</v>
      </c>
    </row>
    <row r="137">
      <c r="A137" s="38" t="s">
        <v>51</v>
      </c>
      <c r="B137" s="37">
        <v>2019.0</v>
      </c>
      <c r="C137" s="39">
        <v>6641.0</v>
      </c>
      <c r="D137" s="39">
        <v>0.0</v>
      </c>
      <c r="E137" s="39">
        <v>130533.0</v>
      </c>
      <c r="F137" s="39">
        <v>4970.0</v>
      </c>
      <c r="G137" s="40">
        <v>0.052889784411012795</v>
      </c>
      <c r="H137" s="40">
        <v>0.9471102155889872</v>
      </c>
      <c r="I137" s="41">
        <v>17.0</v>
      </c>
    </row>
    <row r="138">
      <c r="A138" s="38" t="s">
        <v>52</v>
      </c>
      <c r="B138" s="37">
        <v>2019.0</v>
      </c>
      <c r="C138" s="39">
        <v>12610.0</v>
      </c>
      <c r="D138" s="39">
        <v>10147.0</v>
      </c>
      <c r="E138" s="39">
        <v>378202.0</v>
      </c>
      <c r="F138" s="39">
        <v>51791.0</v>
      </c>
      <c r="G138" s="40">
        <v>0.0697188513867486</v>
      </c>
      <c r="H138" s="40">
        <v>0.9302811486132514</v>
      </c>
      <c r="I138" s="41">
        <v>11.0</v>
      </c>
    </row>
    <row r="139">
      <c r="A139" s="38" t="s">
        <v>53</v>
      </c>
      <c r="B139" s="37">
        <v>2019.0</v>
      </c>
      <c r="C139" s="39">
        <v>2045.0</v>
      </c>
      <c r="D139" s="39">
        <v>478.0</v>
      </c>
      <c r="E139" s="39">
        <v>49235.0</v>
      </c>
      <c r="F139" s="39">
        <v>1989.0</v>
      </c>
      <c r="G139" s="40">
        <v>0.05340134614570546</v>
      </c>
      <c r="H139" s="40">
        <v>0.9465986538542945</v>
      </c>
      <c r="I139" s="41">
        <v>16.0</v>
      </c>
    </row>
    <row r="140">
      <c r="A140" s="38" t="s">
        <v>54</v>
      </c>
      <c r="B140" s="37">
        <v>2019.0</v>
      </c>
      <c r="C140" s="39">
        <v>13003.0</v>
      </c>
      <c r="D140" s="39">
        <v>864.0</v>
      </c>
      <c r="E140" s="39">
        <v>209606.0</v>
      </c>
      <c r="F140" s="39">
        <v>56601.0</v>
      </c>
      <c r="G140" s="40">
        <v>0.09063102512989772</v>
      </c>
      <c r="H140" s="40">
        <v>0.9093689748701023</v>
      </c>
      <c r="I140" s="41">
        <v>9.0</v>
      </c>
    </row>
    <row r="141">
      <c r="A141" s="38" t="s">
        <v>55</v>
      </c>
      <c r="B141" s="37">
        <v>2019.0</v>
      </c>
      <c r="C141" s="39">
        <v>1763.0</v>
      </c>
      <c r="D141" s="39">
        <v>90.0</v>
      </c>
      <c r="E141" s="39">
        <v>51736.0</v>
      </c>
      <c r="F141" s="39">
        <v>10643.0</v>
      </c>
      <c r="G141" s="40">
        <v>0.04509283819628647</v>
      </c>
      <c r="H141" s="40">
        <v>0.9549071618037135</v>
      </c>
      <c r="I141" s="41">
        <v>21.0</v>
      </c>
    </row>
    <row r="142">
      <c r="A142" s="38" t="s">
        <v>56</v>
      </c>
      <c r="B142" s="37">
        <v>2019.0</v>
      </c>
      <c r="C142" s="39">
        <v>3714.0</v>
      </c>
      <c r="D142" s="39">
        <v>288.0</v>
      </c>
      <c r="E142" s="39">
        <v>123567.0</v>
      </c>
      <c r="F142" s="39">
        <v>14582.0</v>
      </c>
      <c r="G142" s="40">
        <v>0.036720649630683125</v>
      </c>
      <c r="H142" s="40">
        <v>0.9632793503693169</v>
      </c>
      <c r="I142" s="41">
        <v>26.0</v>
      </c>
    </row>
    <row r="143">
      <c r="A143" s="38" t="s">
        <v>57</v>
      </c>
      <c r="B143" s="37">
        <v>2019.0</v>
      </c>
      <c r="C143" s="39">
        <v>11650.0</v>
      </c>
      <c r="D143" s="39">
        <v>44.0</v>
      </c>
      <c r="E143" s="39">
        <v>286437.0</v>
      </c>
      <c r="F143" s="39">
        <v>15883.0</v>
      </c>
      <c r="G143" s="40">
        <v>0.043222425098131984</v>
      </c>
      <c r="H143" s="40">
        <v>0.956777574901868</v>
      </c>
      <c r="I143" s="41">
        <v>22.0</v>
      </c>
    </row>
    <row r="144">
      <c r="A144" s="38" t="s">
        <v>58</v>
      </c>
      <c r="B144" s="37">
        <v>2019.0</v>
      </c>
      <c r="C144" s="39">
        <v>6685.0</v>
      </c>
      <c r="D144" s="39">
        <v>6269.0</v>
      </c>
      <c r="E144" s="39">
        <v>488845.0</v>
      </c>
      <c r="F144" s="39">
        <v>50437.0</v>
      </c>
      <c r="G144" s="40">
        <v>0.029547818470465868</v>
      </c>
      <c r="H144" s="40">
        <v>0.9704521815295342</v>
      </c>
      <c r="I144" s="41">
        <v>29.0</v>
      </c>
    </row>
    <row r="145">
      <c r="A145" s="42" t="s">
        <v>86</v>
      </c>
      <c r="B145" s="37">
        <v>2019.0</v>
      </c>
      <c r="C145" s="39">
        <v>3828.0</v>
      </c>
      <c r="D145" s="39">
        <v>123.0</v>
      </c>
      <c r="E145" s="39">
        <v>64358.0</v>
      </c>
      <c r="F145" s="39">
        <v>3761.0</v>
      </c>
      <c r="G145" s="40">
        <v>0.06520124758651419</v>
      </c>
      <c r="H145" s="40">
        <v>0.9347987524134858</v>
      </c>
      <c r="I145" s="41">
        <v>13.0</v>
      </c>
    </row>
    <row r="146">
      <c r="A146" s="38" t="s">
        <v>60</v>
      </c>
      <c r="B146" s="37">
        <v>2019.0</v>
      </c>
      <c r="C146" s="39">
        <v>3841.0</v>
      </c>
      <c r="D146" s="39">
        <v>167.0</v>
      </c>
      <c r="E146" s="39">
        <v>79874.0</v>
      </c>
      <c r="F146" s="39">
        <v>7278.0</v>
      </c>
      <c r="G146" s="40">
        <v>0.0552096534244311</v>
      </c>
      <c r="H146" s="40">
        <v>0.9447903465755689</v>
      </c>
      <c r="I146" s="41">
        <v>14.0</v>
      </c>
    </row>
    <row r="147">
      <c r="A147" s="38" t="s">
        <v>61</v>
      </c>
      <c r="B147" s="37">
        <v>2019.0</v>
      </c>
      <c r="C147" s="39">
        <v>4200.0</v>
      </c>
      <c r="D147" s="39">
        <v>0.0</v>
      </c>
      <c r="E147" s="39">
        <v>6847.0</v>
      </c>
      <c r="F147" s="39">
        <v>274.0</v>
      </c>
      <c r="G147" s="40">
        <v>0.6389776357827476</v>
      </c>
      <c r="H147" s="40">
        <v>0.3610223642172524</v>
      </c>
      <c r="I147" s="41">
        <v>1.0</v>
      </c>
    </row>
    <row r="148">
      <c r="A148" s="38" t="s">
        <v>62</v>
      </c>
      <c r="B148" s="37">
        <v>2019.0</v>
      </c>
      <c r="C148" s="39">
        <v>5484.0</v>
      </c>
      <c r="D148" s="39">
        <v>2793.0</v>
      </c>
      <c r="E148" s="39">
        <v>131735.0</v>
      </c>
      <c r="F148" s="39">
        <v>4890.0</v>
      </c>
      <c r="G148" s="40">
        <v>0.0652528676731444</v>
      </c>
      <c r="H148" s="40">
        <v>0.9347471323268556</v>
      </c>
      <c r="I148" s="41">
        <v>12.0</v>
      </c>
    </row>
    <row r="149">
      <c r="A149" s="38" t="s">
        <v>63</v>
      </c>
      <c r="B149" s="37">
        <v>2019.0</v>
      </c>
      <c r="C149" s="39">
        <v>4005.0</v>
      </c>
      <c r="D149" s="39">
        <v>0.0</v>
      </c>
      <c r="E149" s="39">
        <v>77229.0</v>
      </c>
      <c r="F149" s="39">
        <v>2788.0</v>
      </c>
      <c r="G149" s="40">
        <v>0.053800996762536774</v>
      </c>
      <c r="H149" s="40">
        <v>0.9461990032374632</v>
      </c>
      <c r="I149" s="41">
        <v>15.0</v>
      </c>
    </row>
    <row r="150">
      <c r="A150" s="38" t="s">
        <v>64</v>
      </c>
      <c r="B150" s="37">
        <v>2019.0</v>
      </c>
      <c r="C150" s="39">
        <v>5697.0</v>
      </c>
      <c r="D150" s="39">
        <v>70.0</v>
      </c>
      <c r="E150" s="39">
        <v>156872.0</v>
      </c>
      <c r="F150" s="39">
        <v>29564.0</v>
      </c>
      <c r="G150" s="40">
        <v>0.045299588399786345</v>
      </c>
      <c r="H150" s="40">
        <v>0.9547004116002137</v>
      </c>
      <c r="I150" s="41">
        <v>20.0</v>
      </c>
    </row>
    <row r="151">
      <c r="A151" s="38" t="s">
        <v>65</v>
      </c>
      <c r="B151" s="37">
        <v>2019.0</v>
      </c>
      <c r="C151" s="39">
        <v>7746.0</v>
      </c>
      <c r="D151" s="39">
        <v>821.0</v>
      </c>
      <c r="E151" s="39">
        <v>98302.0</v>
      </c>
      <c r="F151" s="39">
        <v>18089.0</v>
      </c>
      <c r="G151" s="40">
        <v>0.10680313664867291</v>
      </c>
      <c r="H151" s="40">
        <v>0.8931968633513271</v>
      </c>
      <c r="I151" s="41">
        <v>6.0</v>
      </c>
    </row>
    <row r="152">
      <c r="A152" s="38" t="s">
        <v>66</v>
      </c>
      <c r="B152" s="37">
        <v>2019.0</v>
      </c>
      <c r="C152" s="39">
        <v>2177.0</v>
      </c>
      <c r="D152" s="39">
        <v>59.0</v>
      </c>
      <c r="E152" s="39">
        <v>71405.0</v>
      </c>
      <c r="F152" s="39">
        <v>2727.0</v>
      </c>
      <c r="G152" s="40">
        <v>0.032557733189667724</v>
      </c>
      <c r="H152" s="40">
        <v>0.9674422668103323</v>
      </c>
      <c r="I152" s="41">
        <v>28.0</v>
      </c>
    </row>
    <row r="153">
      <c r="A153" s="38" t="s">
        <v>67</v>
      </c>
      <c r="B153" s="37">
        <v>2019.0</v>
      </c>
      <c r="C153" s="39">
        <v>4263.0</v>
      </c>
      <c r="D153" s="39">
        <v>0.0</v>
      </c>
      <c r="E153" s="39">
        <v>74930.0</v>
      </c>
      <c r="F153" s="39">
        <v>29777.0</v>
      </c>
      <c r="G153" s="40">
        <v>0.09441233140655106</v>
      </c>
      <c r="H153" s="40">
        <v>0.905587668593449</v>
      </c>
      <c r="I153" s="41">
        <v>7.0</v>
      </c>
    </row>
    <row r="154">
      <c r="A154" s="38" t="s">
        <v>68</v>
      </c>
      <c r="B154" s="37">
        <v>2019.0</v>
      </c>
      <c r="C154" s="39">
        <v>4078.0</v>
      </c>
      <c r="D154" s="39">
        <v>730.0</v>
      </c>
      <c r="E154" s="39">
        <v>55746.0</v>
      </c>
      <c r="F154" s="39">
        <v>3040.0</v>
      </c>
      <c r="G154" s="40">
        <v>0.09122301066292263</v>
      </c>
      <c r="H154" s="40">
        <v>0.9087769893370774</v>
      </c>
      <c r="I154" s="41">
        <v>8.0</v>
      </c>
    </row>
    <row r="155">
      <c r="A155" s="38" t="s">
        <v>69</v>
      </c>
      <c r="B155" s="37">
        <v>2019.0</v>
      </c>
      <c r="C155" s="39"/>
      <c r="D155" s="39"/>
      <c r="E155" s="39"/>
      <c r="F155" s="39"/>
      <c r="G155" s="40"/>
      <c r="H155" s="40"/>
      <c r="I155" s="41"/>
    </row>
    <row r="156">
      <c r="A156" s="38" t="s">
        <v>70</v>
      </c>
      <c r="B156" s="37">
        <v>2019.0</v>
      </c>
      <c r="C156" s="39">
        <v>3221.0</v>
      </c>
      <c r="D156" s="39">
        <v>56.0</v>
      </c>
      <c r="E156" s="39">
        <v>84959.0</v>
      </c>
      <c r="F156" s="39">
        <v>3518.0</v>
      </c>
      <c r="G156" s="40">
        <v>0.040237718102675554</v>
      </c>
      <c r="H156" s="40">
        <v>0.9597622818973245</v>
      </c>
      <c r="I156" s="41">
        <v>24.0</v>
      </c>
    </row>
    <row r="157">
      <c r="A157" s="38" t="s">
        <v>71</v>
      </c>
      <c r="B157" s="37">
        <v>2019.0</v>
      </c>
      <c r="C157" s="39"/>
      <c r="D157" s="39"/>
      <c r="E157" s="39"/>
      <c r="F157" s="39"/>
      <c r="G157" s="40"/>
      <c r="H157" s="40"/>
      <c r="I157" s="41"/>
    </row>
    <row r="158">
      <c r="A158" s="38" t="s">
        <v>72</v>
      </c>
      <c r="B158" s="37">
        <v>2019.0</v>
      </c>
      <c r="C158" s="39">
        <v>1107.0</v>
      </c>
      <c r="D158" s="39">
        <v>4.0</v>
      </c>
      <c r="E158" s="39">
        <v>13048.0</v>
      </c>
      <c r="F158" s="39">
        <v>398.0</v>
      </c>
      <c r="G158" s="40">
        <v>0.08782608695652173</v>
      </c>
      <c r="H158" s="40">
        <v>0.9121739130434783</v>
      </c>
      <c r="I158" s="41">
        <v>10.0</v>
      </c>
    </row>
    <row r="159">
      <c r="A159" s="42" t="s">
        <v>87</v>
      </c>
      <c r="B159" s="37">
        <v>2019.0</v>
      </c>
      <c r="C159" s="39"/>
      <c r="D159" s="39"/>
      <c r="E159" s="39"/>
      <c r="F159" s="39"/>
      <c r="G159" s="40"/>
      <c r="H159" s="40"/>
      <c r="I159" s="41"/>
    </row>
    <row r="160">
      <c r="A160" s="38" t="s">
        <v>74</v>
      </c>
      <c r="B160" s="37">
        <v>2019.0</v>
      </c>
      <c r="C160" s="39">
        <v>2928.0</v>
      </c>
      <c r="D160" s="39">
        <v>387.0</v>
      </c>
      <c r="E160" s="39">
        <v>27980.0</v>
      </c>
      <c r="F160" s="39">
        <v>969.0</v>
      </c>
      <c r="G160" s="40">
        <v>0.12272777757210025</v>
      </c>
      <c r="H160" s="40">
        <v>0.8772722224278997</v>
      </c>
      <c r="I160" s="41">
        <v>5.0</v>
      </c>
    </row>
    <row r="161">
      <c r="A161" s="38" t="s">
        <v>75</v>
      </c>
      <c r="B161" s="37">
        <v>2019.0</v>
      </c>
      <c r="C161" s="39">
        <v>4325.0</v>
      </c>
      <c r="D161" s="39">
        <v>471.0</v>
      </c>
      <c r="E161" s="39">
        <v>39619.0</v>
      </c>
      <c r="F161" s="39">
        <v>7172.0</v>
      </c>
      <c r="G161" s="40">
        <v>0.1478102752180479</v>
      </c>
      <c r="H161" s="40">
        <v>0.8521897247819521</v>
      </c>
      <c r="I161" s="41">
        <v>4.0</v>
      </c>
    </row>
    <row r="162">
      <c r="A162" s="38"/>
    </row>
    <row r="163">
      <c r="A163" s="38"/>
    </row>
    <row r="164">
      <c r="A164" s="38"/>
    </row>
    <row r="165">
      <c r="A165" s="38"/>
    </row>
    <row r="166">
      <c r="A166" s="42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42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42"/>
    </row>
    <row r="192">
      <c r="A192" s="38"/>
    </row>
    <row r="193">
      <c r="A193" s="3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1" t="s">
        <v>34</v>
      </c>
      <c r="B1" s="41" t="s">
        <v>76</v>
      </c>
      <c r="C1" s="48"/>
      <c r="D1" s="41" t="s">
        <v>88</v>
      </c>
    </row>
    <row r="2">
      <c r="A2" s="49" t="s">
        <v>89</v>
      </c>
      <c r="B2" s="38" t="s">
        <v>43</v>
      </c>
      <c r="C2" s="48">
        <v>0.9496901552418067</v>
      </c>
      <c r="D2" s="41">
        <v>19.0</v>
      </c>
    </row>
    <row r="3">
      <c r="A3" s="49" t="s">
        <v>90</v>
      </c>
      <c r="B3" s="38" t="s">
        <v>45</v>
      </c>
      <c r="C3" s="50">
        <v>0.49329147891246017</v>
      </c>
      <c r="D3" s="41">
        <v>2.0</v>
      </c>
    </row>
    <row r="4">
      <c r="A4" s="49" t="s">
        <v>91</v>
      </c>
      <c r="B4" s="42" t="s">
        <v>46</v>
      </c>
      <c r="C4" s="48">
        <v>0.9598432908912831</v>
      </c>
      <c r="D4" s="41">
        <v>25.0</v>
      </c>
    </row>
    <row r="5">
      <c r="A5" s="49" t="s">
        <v>92</v>
      </c>
      <c r="B5" s="38" t="s">
        <v>47</v>
      </c>
      <c r="C5" s="48">
        <v>0.6276067527308837</v>
      </c>
      <c r="D5" s="41">
        <v>3.0</v>
      </c>
    </row>
    <row r="6">
      <c r="A6" s="49" t="s">
        <v>93</v>
      </c>
      <c r="B6" s="38" t="s">
        <v>48</v>
      </c>
      <c r="C6" s="48">
        <v>0.9475458468176915</v>
      </c>
      <c r="D6" s="41">
        <v>18.0</v>
      </c>
    </row>
    <row r="7">
      <c r="A7" s="49" t="s">
        <v>94</v>
      </c>
      <c r="B7" s="38" t="s">
        <v>49</v>
      </c>
      <c r="C7" s="48">
        <v>0.9666554275877979</v>
      </c>
      <c r="D7" s="41">
        <v>27.0</v>
      </c>
    </row>
    <row r="8">
      <c r="A8" s="49" t="s">
        <v>95</v>
      </c>
      <c r="B8" s="38" t="s">
        <v>50</v>
      </c>
      <c r="C8" s="48">
        <v>0.9579512318809956</v>
      </c>
      <c r="D8" s="41">
        <v>23.0</v>
      </c>
    </row>
    <row r="9">
      <c r="A9" s="49" t="s">
        <v>96</v>
      </c>
      <c r="B9" s="38" t="s">
        <v>51</v>
      </c>
      <c r="C9" s="48">
        <v>0.9471102155889872</v>
      </c>
      <c r="D9" s="41">
        <v>17.0</v>
      </c>
    </row>
    <row r="10">
      <c r="A10" s="49" t="s">
        <v>97</v>
      </c>
      <c r="B10" s="38" t="s">
        <v>52</v>
      </c>
      <c r="C10" s="48">
        <v>0.9302811486132514</v>
      </c>
      <c r="D10" s="41">
        <v>11.0</v>
      </c>
    </row>
    <row r="11">
      <c r="A11" s="49" t="s">
        <v>98</v>
      </c>
      <c r="B11" s="38" t="s">
        <v>53</v>
      </c>
      <c r="C11" s="48">
        <v>0.9465986538542945</v>
      </c>
      <c r="D11" s="41">
        <v>16.0</v>
      </c>
    </row>
    <row r="12">
      <c r="A12" s="49" t="s">
        <v>99</v>
      </c>
      <c r="B12" s="38" t="s">
        <v>54</v>
      </c>
      <c r="C12" s="48">
        <v>0.9093689748701023</v>
      </c>
      <c r="D12" s="41">
        <v>9.0</v>
      </c>
    </row>
    <row r="13">
      <c r="A13" s="49" t="s">
        <v>100</v>
      </c>
      <c r="B13" s="38" t="s">
        <v>55</v>
      </c>
      <c r="C13" s="48">
        <v>0.9549071618037135</v>
      </c>
      <c r="D13" s="41">
        <v>21.0</v>
      </c>
    </row>
    <row r="14">
      <c r="A14" s="49" t="s">
        <v>101</v>
      </c>
      <c r="B14" s="38" t="s">
        <v>56</v>
      </c>
      <c r="C14" s="48">
        <v>0.9632793503693169</v>
      </c>
      <c r="D14" s="41">
        <v>26.0</v>
      </c>
    </row>
    <row r="15">
      <c r="A15" s="49" t="s">
        <v>102</v>
      </c>
      <c r="B15" s="38" t="s">
        <v>57</v>
      </c>
      <c r="C15" s="48">
        <v>0.956777574901868</v>
      </c>
      <c r="D15" s="41">
        <v>22.0</v>
      </c>
    </row>
    <row r="16">
      <c r="A16" s="49" t="s">
        <v>103</v>
      </c>
      <c r="B16" s="38" t="s">
        <v>58</v>
      </c>
      <c r="C16" s="48">
        <v>0.9704521815295342</v>
      </c>
      <c r="D16" s="41">
        <v>29.0</v>
      </c>
    </row>
    <row r="17">
      <c r="A17" s="49" t="s">
        <v>104</v>
      </c>
      <c r="B17" s="38" t="s">
        <v>59</v>
      </c>
      <c r="C17" s="48">
        <v>0.9347987524134858</v>
      </c>
      <c r="D17" s="41">
        <v>13.0</v>
      </c>
    </row>
    <row r="18">
      <c r="A18" s="49" t="s">
        <v>105</v>
      </c>
      <c r="B18" s="38" t="s">
        <v>60</v>
      </c>
      <c r="C18" s="48">
        <v>0.9447903465755689</v>
      </c>
      <c r="D18" s="41">
        <v>14.0</v>
      </c>
    </row>
    <row r="19">
      <c r="A19" s="49" t="s">
        <v>106</v>
      </c>
      <c r="B19" s="38" t="s">
        <v>61</v>
      </c>
      <c r="C19" s="48">
        <v>0.3610223642172524</v>
      </c>
      <c r="D19" s="41">
        <v>1.0</v>
      </c>
    </row>
    <row r="20">
      <c r="A20" s="49" t="s">
        <v>107</v>
      </c>
      <c r="B20" s="38" t="s">
        <v>62</v>
      </c>
      <c r="C20" s="48">
        <v>0.9347471323268556</v>
      </c>
      <c r="D20" s="41">
        <v>12.0</v>
      </c>
    </row>
    <row r="21">
      <c r="A21" s="49" t="s">
        <v>108</v>
      </c>
      <c r="B21" s="38" t="s">
        <v>63</v>
      </c>
      <c r="C21" s="48">
        <v>0.9461990032374632</v>
      </c>
      <c r="D21" s="41">
        <v>15.0</v>
      </c>
    </row>
    <row r="22">
      <c r="A22" s="49" t="s">
        <v>109</v>
      </c>
      <c r="B22" s="38" t="s">
        <v>64</v>
      </c>
      <c r="C22" s="48">
        <v>0.9547004116002137</v>
      </c>
      <c r="D22" s="41">
        <v>20.0</v>
      </c>
    </row>
    <row r="23">
      <c r="A23" s="49" t="s">
        <v>110</v>
      </c>
      <c r="B23" s="38" t="s">
        <v>65</v>
      </c>
      <c r="C23" s="48">
        <v>0.8931968633513271</v>
      </c>
      <c r="D23" s="41">
        <v>6.0</v>
      </c>
    </row>
    <row r="24">
      <c r="A24" s="49" t="s">
        <v>111</v>
      </c>
      <c r="B24" s="38" t="s">
        <v>66</v>
      </c>
      <c r="C24" s="48">
        <v>0.9674422668103323</v>
      </c>
      <c r="D24" s="41">
        <v>28.0</v>
      </c>
    </row>
    <row r="25">
      <c r="A25" s="49" t="s">
        <v>112</v>
      </c>
      <c r="B25" s="38" t="s">
        <v>67</v>
      </c>
      <c r="C25" s="48">
        <v>0.905587668593449</v>
      </c>
      <c r="D25" s="41">
        <v>7.0</v>
      </c>
    </row>
    <row r="26">
      <c r="A26" s="49" t="s">
        <v>113</v>
      </c>
      <c r="B26" s="38" t="s">
        <v>68</v>
      </c>
      <c r="C26" s="48">
        <v>0.9087769893370774</v>
      </c>
      <c r="D26" s="41">
        <v>8.0</v>
      </c>
    </row>
    <row r="27">
      <c r="A27" s="49" t="s">
        <v>114</v>
      </c>
      <c r="B27" s="42" t="s">
        <v>69</v>
      </c>
      <c r="C27" s="48"/>
      <c r="D27" s="41"/>
    </row>
    <row r="28">
      <c r="A28" s="49" t="s">
        <v>115</v>
      </c>
      <c r="B28" s="42" t="s">
        <v>116</v>
      </c>
      <c r="C28" s="48">
        <v>0.9597622818973245</v>
      </c>
      <c r="D28" s="41">
        <v>24.0</v>
      </c>
    </row>
    <row r="29">
      <c r="A29" s="49" t="s">
        <v>117</v>
      </c>
      <c r="B29" s="38" t="s">
        <v>71</v>
      </c>
      <c r="C29" s="48"/>
      <c r="D29" s="41"/>
    </row>
    <row r="30">
      <c r="A30" s="49" t="s">
        <v>118</v>
      </c>
      <c r="B30" s="38" t="s">
        <v>72</v>
      </c>
      <c r="C30" s="48">
        <v>0.9121739130434783</v>
      </c>
      <c r="D30" s="41">
        <v>10.0</v>
      </c>
    </row>
    <row r="31">
      <c r="A31" s="49" t="s">
        <v>119</v>
      </c>
      <c r="B31" s="42" t="s">
        <v>87</v>
      </c>
      <c r="C31" s="48"/>
      <c r="D31" s="41"/>
    </row>
    <row r="32">
      <c r="A32" s="49" t="s">
        <v>120</v>
      </c>
      <c r="B32" s="38" t="s">
        <v>74</v>
      </c>
      <c r="C32" s="48">
        <v>0.8772722224278997</v>
      </c>
      <c r="D32" s="41">
        <v>5.0</v>
      </c>
    </row>
    <row r="33">
      <c r="A33" s="49" t="s">
        <v>121</v>
      </c>
      <c r="B33" s="38" t="s">
        <v>75</v>
      </c>
      <c r="C33" s="48">
        <v>0.8521897247819521</v>
      </c>
      <c r="D33" s="41">
        <v>4.0</v>
      </c>
    </row>
  </sheetData>
  <autoFilter ref="$A$1:$D$33">
    <sortState ref="A1:D33">
      <sortCondition ref="A1:A33"/>
      <sortCondition ref="C1:C33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1" t="s">
        <v>34</v>
      </c>
      <c r="B1" s="41" t="s">
        <v>76</v>
      </c>
      <c r="C1" s="41" t="s">
        <v>122</v>
      </c>
      <c r="D1" s="41" t="s">
        <v>88</v>
      </c>
    </row>
    <row r="2">
      <c r="A2" s="49" t="s">
        <v>89</v>
      </c>
      <c r="B2" s="38" t="s">
        <v>43</v>
      </c>
      <c r="C2" s="48">
        <v>0.969443070719367</v>
      </c>
      <c r="D2" s="41">
        <v>13.0</v>
      </c>
    </row>
    <row r="3">
      <c r="A3" s="49" t="s">
        <v>90</v>
      </c>
      <c r="B3" s="38" t="s">
        <v>45</v>
      </c>
      <c r="C3" s="48">
        <v>0.6061287122574246</v>
      </c>
      <c r="D3" s="41">
        <v>1.0</v>
      </c>
    </row>
    <row r="4">
      <c r="A4" s="49" t="s">
        <v>91</v>
      </c>
      <c r="B4" s="42" t="s">
        <v>46</v>
      </c>
      <c r="C4" s="48">
        <v>0.9921828776333482</v>
      </c>
      <c r="D4" s="41">
        <v>27.0</v>
      </c>
    </row>
    <row r="5">
      <c r="A5" s="49" t="s">
        <v>92</v>
      </c>
      <c r="B5" s="38" t="s">
        <v>47</v>
      </c>
      <c r="C5" s="48">
        <v>0.9765599207659293</v>
      </c>
      <c r="D5" s="41">
        <v>17.0</v>
      </c>
    </row>
    <row r="6">
      <c r="A6" s="49" t="s">
        <v>93</v>
      </c>
      <c r="B6" s="42" t="s">
        <v>123</v>
      </c>
      <c r="C6" s="48">
        <v>0.9354050878559453</v>
      </c>
      <c r="D6" s="41">
        <v>4.0</v>
      </c>
    </row>
    <row r="7">
      <c r="A7" s="49" t="s">
        <v>94</v>
      </c>
      <c r="B7" s="38" t="s">
        <v>49</v>
      </c>
      <c r="C7" s="48">
        <v>0.9641458666024982</v>
      </c>
      <c r="D7" s="41">
        <v>10.0</v>
      </c>
    </row>
    <row r="8">
      <c r="A8" s="49" t="s">
        <v>95</v>
      </c>
      <c r="B8" s="38" t="s">
        <v>50</v>
      </c>
      <c r="C8" s="48">
        <v>0.9187876660230531</v>
      </c>
      <c r="D8" s="41">
        <v>3.0</v>
      </c>
    </row>
    <row r="9">
      <c r="A9" s="49" t="s">
        <v>96</v>
      </c>
      <c r="B9" s="38" t="s">
        <v>51</v>
      </c>
      <c r="C9" s="48">
        <v>0.9866555391860475</v>
      </c>
      <c r="D9" s="41">
        <v>23.0</v>
      </c>
    </row>
    <row r="10">
      <c r="A10" s="49" t="s">
        <v>97</v>
      </c>
      <c r="B10" s="38" t="s">
        <v>52</v>
      </c>
      <c r="C10" s="48">
        <v>0.958554780976947</v>
      </c>
      <c r="D10" s="41">
        <v>8.0</v>
      </c>
    </row>
    <row r="11">
      <c r="A11" s="49" t="s">
        <v>98</v>
      </c>
      <c r="B11" s="38" t="s">
        <v>53</v>
      </c>
      <c r="C11" s="48">
        <v>0.9729916151143492</v>
      </c>
      <c r="D11" s="41">
        <v>15.0</v>
      </c>
    </row>
    <row r="12">
      <c r="A12" s="49" t="s">
        <v>99</v>
      </c>
      <c r="B12" s="38" t="s">
        <v>54</v>
      </c>
      <c r="C12" s="48">
        <v>0.9943681727377056</v>
      </c>
      <c r="D12" s="41">
        <v>28.0</v>
      </c>
    </row>
    <row r="13">
      <c r="A13" s="49" t="s">
        <v>100</v>
      </c>
      <c r="B13" s="38" t="s">
        <v>55</v>
      </c>
      <c r="C13" s="48">
        <v>0.985933636377097</v>
      </c>
      <c r="D13" s="41">
        <v>22.0</v>
      </c>
    </row>
    <row r="14">
      <c r="A14" s="49" t="s">
        <v>101</v>
      </c>
      <c r="B14" s="38" t="s">
        <v>56</v>
      </c>
      <c r="C14" s="48">
        <v>0.9900832708733146</v>
      </c>
      <c r="D14" s="41">
        <v>26.0</v>
      </c>
    </row>
    <row r="15">
      <c r="A15" s="49" t="s">
        <v>102</v>
      </c>
      <c r="B15" s="38" t="s">
        <v>57</v>
      </c>
      <c r="C15" s="48">
        <v>0.9891733088630196</v>
      </c>
      <c r="D15" s="41">
        <v>25.0</v>
      </c>
    </row>
    <row r="16">
      <c r="A16" s="49" t="s">
        <v>103</v>
      </c>
      <c r="B16" s="38" t="s">
        <v>58</v>
      </c>
      <c r="C16" s="48">
        <v>0.9737283455294127</v>
      </c>
      <c r="D16" s="41">
        <v>16.0</v>
      </c>
    </row>
    <row r="17">
      <c r="A17" s="49" t="s">
        <v>104</v>
      </c>
      <c r="B17" s="42" t="s">
        <v>86</v>
      </c>
      <c r="C17" s="48">
        <v>0.9086020607538284</v>
      </c>
      <c r="D17" s="41">
        <v>2.0</v>
      </c>
    </row>
    <row r="18">
      <c r="A18" s="49" t="s">
        <v>105</v>
      </c>
      <c r="B18" s="38" t="s">
        <v>60</v>
      </c>
      <c r="C18" s="48">
        <v>0.9604402855257633</v>
      </c>
      <c r="D18" s="41">
        <v>9.0</v>
      </c>
    </row>
    <row r="19">
      <c r="A19" s="49" t="s">
        <v>106</v>
      </c>
      <c r="B19" s="38" t="s">
        <v>61</v>
      </c>
      <c r="C19" s="48">
        <v>0.9652650822669104</v>
      </c>
      <c r="D19" s="41">
        <v>11.0</v>
      </c>
    </row>
    <row r="20">
      <c r="A20" s="49" t="s">
        <v>107</v>
      </c>
      <c r="B20" s="38" t="s">
        <v>62</v>
      </c>
      <c r="C20" s="48">
        <v>0.9846638092686847</v>
      </c>
      <c r="D20" s="41">
        <v>21.0</v>
      </c>
    </row>
    <row r="21">
      <c r="A21" s="49" t="s">
        <v>108</v>
      </c>
      <c r="B21" s="38" t="s">
        <v>63</v>
      </c>
      <c r="C21" s="48">
        <v>0.9844078486334968</v>
      </c>
      <c r="D21" s="41">
        <v>20.0</v>
      </c>
    </row>
    <row r="22">
      <c r="A22" s="49" t="s">
        <v>109</v>
      </c>
      <c r="B22" s="38" t="s">
        <v>64</v>
      </c>
      <c r="C22" s="48">
        <v>0.9729375859535427</v>
      </c>
      <c r="D22" s="41">
        <v>14.0</v>
      </c>
    </row>
    <row r="23">
      <c r="A23" s="49" t="s">
        <v>110</v>
      </c>
      <c r="B23" s="38" t="s">
        <v>65</v>
      </c>
      <c r="C23" s="48">
        <v>0.9381996239225634</v>
      </c>
      <c r="D23" s="41">
        <v>6.0</v>
      </c>
    </row>
    <row r="24">
      <c r="A24" s="49" t="s">
        <v>111</v>
      </c>
      <c r="B24" s="38" t="s">
        <v>66</v>
      </c>
      <c r="C24" s="48">
        <v>0.9885112666418564</v>
      </c>
      <c r="D24" s="41">
        <v>24.0</v>
      </c>
    </row>
    <row r="25">
      <c r="A25" s="49" t="s">
        <v>112</v>
      </c>
      <c r="B25" s="38" t="s">
        <v>67</v>
      </c>
      <c r="C25" s="48">
        <v>0.9463815578244398</v>
      </c>
      <c r="D25" s="41">
        <v>7.0</v>
      </c>
    </row>
    <row r="26">
      <c r="A26" s="49" t="s">
        <v>113</v>
      </c>
      <c r="B26" s="38" t="s">
        <v>68</v>
      </c>
      <c r="C26" s="48">
        <v>0.9826077163175339</v>
      </c>
      <c r="D26" s="41">
        <v>19.0</v>
      </c>
    </row>
    <row r="27">
      <c r="A27" s="49" t="s">
        <v>114</v>
      </c>
      <c r="B27" s="42" t="s">
        <v>69</v>
      </c>
      <c r="C27" s="48"/>
      <c r="D27" s="41"/>
    </row>
    <row r="28">
      <c r="A28" s="49" t="s">
        <v>115</v>
      </c>
      <c r="B28" s="42" t="s">
        <v>70</v>
      </c>
      <c r="C28" s="48"/>
      <c r="D28" s="41"/>
    </row>
    <row r="29">
      <c r="A29" s="49" t="s">
        <v>117</v>
      </c>
      <c r="B29" s="38" t="s">
        <v>71</v>
      </c>
      <c r="C29" s="48">
        <v>0.9670367235317099</v>
      </c>
      <c r="D29" s="41">
        <v>12.0</v>
      </c>
    </row>
    <row r="30">
      <c r="A30" s="49" t="s">
        <v>118</v>
      </c>
      <c r="B30" s="38" t="s">
        <v>72</v>
      </c>
      <c r="C30" s="48">
        <v>0.9825491873396065</v>
      </c>
      <c r="D30" s="41">
        <v>18.0</v>
      </c>
    </row>
    <row r="31">
      <c r="A31" s="49" t="s">
        <v>119</v>
      </c>
      <c r="B31" s="42" t="s">
        <v>124</v>
      </c>
      <c r="C31" s="48">
        <v>0.9986874107246265</v>
      </c>
      <c r="D31" s="41">
        <v>30.0</v>
      </c>
    </row>
    <row r="32">
      <c r="A32" s="49" t="s">
        <v>120</v>
      </c>
      <c r="B32" s="38" t="s">
        <v>74</v>
      </c>
      <c r="C32" s="48">
        <v>0.9354384167040287</v>
      </c>
      <c r="D32" s="41">
        <v>5.0</v>
      </c>
    </row>
    <row r="33">
      <c r="A33" s="49" t="s">
        <v>121</v>
      </c>
      <c r="B33" s="38" t="s">
        <v>75</v>
      </c>
      <c r="C33" s="48">
        <v>0.9985026565770407</v>
      </c>
      <c r="D33" s="41">
        <v>29.0</v>
      </c>
    </row>
  </sheetData>
  <autoFilter ref="$A$1:$D$33">
    <sortState ref="A1:D33">
      <sortCondition ref="A1:A33"/>
      <sortCondition ref="C1:C33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2.63"/>
    <col customWidth="1" min="2" max="2" width="17.75"/>
    <col customWidth="1" min="3" max="11" width="8.13"/>
    <col customWidth="1" min="12" max="12" width="10.0"/>
    <col customWidth="1" min="13" max="13" width="9.0"/>
    <col customWidth="1" min="14" max="16" width="8.13"/>
    <col customWidth="1" min="17" max="18" width="8.75"/>
    <col customWidth="1" min="19" max="19" width="8.13"/>
    <col customWidth="1" min="20" max="26" width="10.38"/>
    <col customWidth="1" min="27" max="27" width="12.25"/>
    <col customWidth="1" min="28" max="28" width="10.75"/>
    <col customWidth="1" min="29" max="29" width="9.75"/>
    <col customWidth="1" min="30" max="32" width="8.13"/>
    <col customWidth="1" min="33" max="33" width="14.63"/>
    <col customWidth="1" hidden="1" min="34" max="49" width="8.13"/>
    <col customWidth="1" min="50" max="61" width="8.13"/>
  </cols>
  <sheetData>
    <row r="1" ht="29.25" customHeight="1">
      <c r="A1" s="51" t="s">
        <v>125</v>
      </c>
      <c r="B1" s="52"/>
      <c r="C1" s="53" t="s">
        <v>126</v>
      </c>
      <c r="D1" s="54"/>
      <c r="E1" s="54"/>
      <c r="F1" s="54"/>
      <c r="G1" s="55"/>
      <c r="H1" s="53" t="s">
        <v>127</v>
      </c>
      <c r="I1" s="54"/>
      <c r="J1" s="54"/>
      <c r="K1" s="55"/>
      <c r="L1" s="53" t="s">
        <v>128</v>
      </c>
      <c r="M1" s="55"/>
      <c r="N1" s="53" t="s">
        <v>129</v>
      </c>
      <c r="O1" s="54"/>
      <c r="P1" s="54"/>
      <c r="Q1" s="54"/>
      <c r="R1" s="54"/>
      <c r="S1" s="55"/>
      <c r="T1" s="56"/>
      <c r="U1" s="56"/>
      <c r="V1" s="56"/>
      <c r="W1" s="56"/>
      <c r="X1" s="56"/>
      <c r="Y1" s="56"/>
      <c r="Z1" s="57" t="s">
        <v>130</v>
      </c>
      <c r="AA1" s="58"/>
      <c r="AB1" s="58"/>
      <c r="AC1" s="59"/>
      <c r="AD1" s="60"/>
      <c r="AE1" s="60"/>
      <c r="AF1" s="61" t="s">
        <v>125</v>
      </c>
      <c r="AG1" s="62"/>
      <c r="AH1" s="63" t="s">
        <v>126</v>
      </c>
      <c r="AI1" s="63"/>
      <c r="AJ1" s="63"/>
      <c r="AK1" s="63"/>
      <c r="AL1" s="64"/>
      <c r="AM1" s="63" t="s">
        <v>127</v>
      </c>
      <c r="AN1" s="64"/>
      <c r="AO1" s="63" t="s">
        <v>128</v>
      </c>
      <c r="AP1" s="64"/>
      <c r="AQ1" s="63" t="s">
        <v>129</v>
      </c>
      <c r="AR1" s="63"/>
      <c r="AS1" s="63"/>
      <c r="AT1" s="63"/>
      <c r="AU1" s="63"/>
      <c r="AV1" s="63"/>
      <c r="AW1" s="63"/>
      <c r="AX1" s="65" t="s">
        <v>130</v>
      </c>
      <c r="AY1" s="58"/>
      <c r="AZ1" s="58"/>
      <c r="BA1" s="59"/>
      <c r="BB1" s="60"/>
      <c r="BC1" s="60"/>
      <c r="BD1" s="60"/>
      <c r="BE1" s="60"/>
      <c r="BF1" s="60"/>
      <c r="BG1" s="60"/>
      <c r="BH1" s="60"/>
      <c r="BI1" s="60"/>
    </row>
    <row r="2" ht="60.0" customHeight="1">
      <c r="A2" s="66"/>
      <c r="B2" s="52"/>
      <c r="C2" s="67" t="s">
        <v>131</v>
      </c>
      <c r="D2" s="55"/>
      <c r="E2" s="67" t="s">
        <v>132</v>
      </c>
      <c r="F2" s="54"/>
      <c r="G2" s="54"/>
      <c r="H2" s="55"/>
      <c r="I2" s="67" t="s">
        <v>133</v>
      </c>
      <c r="J2" s="54"/>
      <c r="K2" s="55"/>
      <c r="L2" s="67" t="s">
        <v>134</v>
      </c>
      <c r="M2" s="55"/>
      <c r="N2" s="67" t="s">
        <v>131</v>
      </c>
      <c r="O2" s="54"/>
      <c r="P2" s="54"/>
      <c r="Q2" s="55"/>
      <c r="R2" s="67" t="s">
        <v>132</v>
      </c>
      <c r="S2" s="55"/>
      <c r="T2" s="56"/>
      <c r="U2" s="56"/>
      <c r="V2" s="56"/>
      <c r="W2" s="56"/>
      <c r="X2" s="56"/>
      <c r="Y2" s="56"/>
      <c r="Z2" s="68"/>
      <c r="AA2" s="69"/>
      <c r="AB2" s="69"/>
      <c r="AC2" s="70"/>
      <c r="AD2" s="60"/>
      <c r="AE2" s="60"/>
      <c r="AF2" s="71"/>
      <c r="AG2" s="62"/>
      <c r="AH2" s="72" t="s">
        <v>135</v>
      </c>
      <c r="AI2" s="72"/>
      <c r="AJ2" s="73"/>
      <c r="AK2" s="72" t="s">
        <v>136</v>
      </c>
      <c r="AL2" s="73"/>
      <c r="AM2" s="72" t="s">
        <v>136</v>
      </c>
      <c r="AN2" s="73"/>
      <c r="AO2" s="72" t="s">
        <v>135</v>
      </c>
      <c r="AP2" s="73"/>
      <c r="AQ2" s="72" t="s">
        <v>135</v>
      </c>
      <c r="AR2" s="72"/>
      <c r="AS2" s="73"/>
      <c r="AT2" s="74"/>
      <c r="AU2" s="75" t="s">
        <v>136</v>
      </c>
      <c r="AV2" s="75"/>
      <c r="AW2" s="76"/>
      <c r="AX2" s="68"/>
      <c r="AY2" s="69"/>
      <c r="AZ2" s="69"/>
      <c r="BA2" s="70"/>
      <c r="BB2" s="60"/>
      <c r="BC2" s="60"/>
      <c r="BD2" s="60"/>
      <c r="BE2" s="60"/>
      <c r="BF2" s="60"/>
      <c r="BG2" s="60"/>
      <c r="BH2" s="60"/>
      <c r="BI2" s="60"/>
    </row>
    <row r="3" ht="183.75" customHeight="1">
      <c r="A3" s="66"/>
      <c r="B3" s="77" t="s">
        <v>35</v>
      </c>
      <c r="C3" s="78" t="s">
        <v>137</v>
      </c>
      <c r="D3" s="78" t="s">
        <v>138</v>
      </c>
      <c r="E3" s="78" t="s">
        <v>137</v>
      </c>
      <c r="F3" s="78" t="s">
        <v>139</v>
      </c>
      <c r="G3" s="79" t="s">
        <v>140</v>
      </c>
      <c r="H3" s="79" t="s">
        <v>141</v>
      </c>
      <c r="I3" s="79" t="s">
        <v>142</v>
      </c>
      <c r="J3" s="79" t="s">
        <v>143</v>
      </c>
      <c r="K3" s="79" t="s">
        <v>144</v>
      </c>
      <c r="L3" s="80" t="s">
        <v>145</v>
      </c>
      <c r="M3" s="81" t="s">
        <v>146</v>
      </c>
      <c r="N3" s="80" t="s">
        <v>147</v>
      </c>
      <c r="O3" s="80" t="s">
        <v>148</v>
      </c>
      <c r="P3" s="80" t="s">
        <v>149</v>
      </c>
      <c r="Q3" s="80" t="s">
        <v>150</v>
      </c>
      <c r="R3" s="80" t="s">
        <v>148</v>
      </c>
      <c r="S3" s="80" t="s">
        <v>150</v>
      </c>
      <c r="T3" s="82" t="s">
        <v>151</v>
      </c>
      <c r="U3" s="82" t="s">
        <v>152</v>
      </c>
      <c r="V3" s="82" t="s">
        <v>153</v>
      </c>
      <c r="W3" s="82" t="s">
        <v>154</v>
      </c>
      <c r="X3" s="83" t="s">
        <v>155</v>
      </c>
      <c r="Y3" s="83" t="s">
        <v>156</v>
      </c>
      <c r="Z3" s="84" t="s">
        <v>157</v>
      </c>
      <c r="AA3" s="84" t="s">
        <v>158</v>
      </c>
      <c r="AB3" s="84" t="s">
        <v>159</v>
      </c>
      <c r="AC3" s="84" t="s">
        <v>160</v>
      </c>
      <c r="AD3" s="85"/>
      <c r="AE3" s="85"/>
      <c r="AF3" s="71"/>
      <c r="AG3" s="86" t="s">
        <v>35</v>
      </c>
      <c r="AH3" s="87" t="s">
        <v>161</v>
      </c>
      <c r="AI3" s="87" t="s">
        <v>162</v>
      </c>
      <c r="AJ3" s="88" t="s">
        <v>163</v>
      </c>
      <c r="AK3" s="89" t="s">
        <v>164</v>
      </c>
      <c r="AL3" s="90" t="s">
        <v>165</v>
      </c>
      <c r="AM3" s="90" t="s">
        <v>141</v>
      </c>
      <c r="AN3" s="90" t="s">
        <v>166</v>
      </c>
      <c r="AO3" s="91" t="s">
        <v>145</v>
      </c>
      <c r="AP3" s="91" t="s">
        <v>167</v>
      </c>
      <c r="AQ3" s="90" t="s">
        <v>168</v>
      </c>
      <c r="AR3" s="90" t="s">
        <v>148</v>
      </c>
      <c r="AS3" s="90" t="s">
        <v>169</v>
      </c>
      <c r="AT3" s="90" t="s">
        <v>150</v>
      </c>
      <c r="AU3" s="90" t="s">
        <v>170</v>
      </c>
      <c r="AV3" s="90" t="s">
        <v>171</v>
      </c>
      <c r="AW3" s="92" t="s">
        <v>172</v>
      </c>
      <c r="AX3" s="93" t="s">
        <v>157</v>
      </c>
      <c r="AY3" s="93" t="s">
        <v>158</v>
      </c>
      <c r="AZ3" s="93" t="s">
        <v>159</v>
      </c>
      <c r="BA3" s="93" t="s">
        <v>160</v>
      </c>
      <c r="BB3" s="85"/>
      <c r="BC3" s="85"/>
      <c r="BD3" s="85"/>
      <c r="BE3" s="85"/>
      <c r="BF3" s="85"/>
      <c r="BG3" s="85"/>
      <c r="BH3" s="85"/>
      <c r="BI3" s="85"/>
    </row>
    <row r="4" ht="156.75" customHeight="1">
      <c r="A4" s="94"/>
      <c r="B4" s="95" t="s">
        <v>1</v>
      </c>
      <c r="C4" s="96" t="s">
        <v>173</v>
      </c>
      <c r="D4" s="96" t="s">
        <v>174</v>
      </c>
      <c r="E4" s="96" t="s">
        <v>175</v>
      </c>
      <c r="F4" s="97" t="s">
        <v>176</v>
      </c>
      <c r="G4" s="97" t="s">
        <v>176</v>
      </c>
      <c r="H4" s="97" t="s">
        <v>177</v>
      </c>
      <c r="I4" s="97" t="s">
        <v>178</v>
      </c>
      <c r="J4" s="97" t="s">
        <v>179</v>
      </c>
      <c r="K4" s="97" t="s">
        <v>180</v>
      </c>
      <c r="L4" s="98" t="s">
        <v>181</v>
      </c>
      <c r="M4" s="99" t="s">
        <v>182</v>
      </c>
      <c r="N4" s="96" t="s">
        <v>183</v>
      </c>
      <c r="O4" s="96" t="s">
        <v>184</v>
      </c>
      <c r="P4" s="96" t="s">
        <v>185</v>
      </c>
      <c r="Q4" s="96" t="s">
        <v>186</v>
      </c>
      <c r="R4" s="96" t="s">
        <v>187</v>
      </c>
      <c r="S4" s="96" t="s">
        <v>188</v>
      </c>
      <c r="T4" s="100"/>
      <c r="U4" s="100"/>
      <c r="V4" s="100"/>
      <c r="W4" s="100"/>
      <c r="X4" s="100"/>
      <c r="Y4" s="100"/>
      <c r="Z4" s="100"/>
      <c r="AA4" s="101"/>
      <c r="AB4" s="102"/>
      <c r="AC4" s="102"/>
      <c r="AD4" s="103"/>
      <c r="AE4" s="103"/>
      <c r="AF4" s="104"/>
      <c r="AG4" s="105" t="s">
        <v>1</v>
      </c>
      <c r="AH4" s="106" t="s">
        <v>189</v>
      </c>
      <c r="AI4" s="106" t="s">
        <v>189</v>
      </c>
      <c r="AJ4" s="107" t="s">
        <v>190</v>
      </c>
      <c r="AK4" s="107" t="s">
        <v>191</v>
      </c>
      <c r="AL4" s="107" t="s">
        <v>192</v>
      </c>
      <c r="AM4" s="107" t="s">
        <v>193</v>
      </c>
      <c r="AN4" s="107" t="s">
        <v>194</v>
      </c>
      <c r="AO4" s="108" t="s">
        <v>195</v>
      </c>
      <c r="AP4" s="109" t="s">
        <v>196</v>
      </c>
      <c r="AQ4" s="107" t="s">
        <v>197</v>
      </c>
      <c r="AR4" s="107" t="s">
        <v>198</v>
      </c>
      <c r="AS4" s="107" t="s">
        <v>199</v>
      </c>
      <c r="AT4" s="107" t="s">
        <v>189</v>
      </c>
      <c r="AU4" s="107" t="s">
        <v>200</v>
      </c>
      <c r="AV4" s="107" t="s">
        <v>201</v>
      </c>
      <c r="AW4" s="110" t="s">
        <v>202</v>
      </c>
      <c r="AX4" s="111"/>
      <c r="AY4" s="111"/>
      <c r="AZ4" s="111"/>
      <c r="BA4" s="111"/>
      <c r="BB4" s="103"/>
      <c r="BC4" s="103"/>
      <c r="BD4" s="103"/>
      <c r="BE4" s="103"/>
      <c r="BF4" s="103"/>
      <c r="BG4" s="103"/>
      <c r="BH4" s="103"/>
      <c r="BI4" s="103"/>
    </row>
    <row r="5" ht="15.75" customHeight="1">
      <c r="A5" s="112"/>
      <c r="B5" s="42" t="s">
        <v>203</v>
      </c>
      <c r="C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4"/>
      <c r="U5" s="114"/>
      <c r="V5" s="114"/>
      <c r="W5" s="114"/>
      <c r="X5" s="114"/>
      <c r="Y5" s="114"/>
      <c r="Z5" s="114">
        <f t="shared" ref="Z5:Z6" si="1">SUM(C5:K5)</f>
        <v>0</v>
      </c>
      <c r="AA5" s="114">
        <f t="shared" ref="AA5:AA6" si="2">((L5+M5)-(SUM(N5:S5)))</f>
        <v>0</v>
      </c>
      <c r="AB5" s="115" t="str">
        <f t="shared" ref="AB5:AB6" si="3">Z5/AA5</f>
        <v>#DIV/0!</v>
      </c>
      <c r="AC5" s="115" t="str">
        <f t="shared" ref="AC5:AC6" si="4">100%-AB5</f>
        <v>#DIV/0!</v>
      </c>
      <c r="AD5" s="116"/>
      <c r="AE5" s="116"/>
      <c r="AF5" s="117"/>
      <c r="AG5" s="118"/>
      <c r="AH5" s="119"/>
      <c r="AI5" s="119"/>
      <c r="AJ5" s="119"/>
      <c r="AK5" s="120"/>
      <c r="AL5" s="119"/>
      <c r="AM5" s="119"/>
      <c r="AN5" s="119"/>
      <c r="AO5" s="121"/>
      <c r="AP5" s="122"/>
      <c r="AQ5" s="119"/>
      <c r="AR5" s="119"/>
      <c r="AS5" s="119"/>
      <c r="AT5" s="119"/>
      <c r="AU5" s="119"/>
      <c r="AV5" s="119"/>
      <c r="AW5" s="120"/>
      <c r="AX5" s="120"/>
      <c r="AY5" s="120"/>
      <c r="AZ5" s="123"/>
      <c r="BA5" s="123"/>
      <c r="BB5" s="116"/>
      <c r="BC5" s="116"/>
      <c r="BD5" s="116"/>
      <c r="BE5" s="116"/>
      <c r="BF5" s="116"/>
      <c r="BG5" s="116"/>
      <c r="BH5" s="116"/>
      <c r="BI5" s="116"/>
    </row>
    <row r="6" ht="15.75" customHeight="1">
      <c r="A6" s="124"/>
      <c r="B6" s="38" t="s">
        <v>43</v>
      </c>
      <c r="C6" s="125">
        <v>47.0</v>
      </c>
      <c r="D6" s="126">
        <v>1742.0</v>
      </c>
      <c r="E6" s="125">
        <v>1.0</v>
      </c>
      <c r="F6" s="127"/>
      <c r="G6" s="125"/>
      <c r="H6" s="125"/>
      <c r="I6" s="128"/>
      <c r="J6" s="128"/>
      <c r="K6" s="128"/>
      <c r="L6" s="126">
        <v>40544.0</v>
      </c>
      <c r="M6" s="126">
        <v>46382.0</v>
      </c>
      <c r="N6" s="126">
        <v>338.0</v>
      </c>
      <c r="O6" s="128">
        <v>1424.0</v>
      </c>
      <c r="P6" s="126">
        <v>1728.0</v>
      </c>
      <c r="Q6" s="128">
        <v>244.0</v>
      </c>
      <c r="R6" s="129">
        <v>0.0</v>
      </c>
      <c r="S6" s="128">
        <v>0.0</v>
      </c>
      <c r="T6" s="130">
        <f t="shared" ref="T6:T37" si="5">C6+D6+E6+F6+G6</f>
        <v>1790</v>
      </c>
      <c r="U6" s="130">
        <f t="shared" ref="U6:U37" si="6">H6+I6+J6+K6</f>
        <v>0</v>
      </c>
      <c r="V6" s="130">
        <f t="shared" ref="V6:V37" si="7">L6+M6</f>
        <v>86926</v>
      </c>
      <c r="W6" s="130">
        <f t="shared" ref="W6:W37" si="8">N6+O6+P6+Q6+R6+S6</f>
        <v>3734</v>
      </c>
      <c r="X6" s="116">
        <f t="shared" ref="X6:X38" si="9">(T6+U6)/(V6-W6)</f>
        <v>0.02151649197</v>
      </c>
      <c r="Y6" s="116">
        <f t="shared" ref="Y6:Y38" si="10">1-X6</f>
        <v>0.978483508</v>
      </c>
      <c r="Z6" s="114">
        <f t="shared" si="1"/>
        <v>1790</v>
      </c>
      <c r="AA6" s="114">
        <f t="shared" si="2"/>
        <v>83192</v>
      </c>
      <c r="AB6" s="115">
        <f t="shared" si="3"/>
        <v>0.02151649197</v>
      </c>
      <c r="AC6" s="115">
        <f t="shared" si="4"/>
        <v>0.978483508</v>
      </c>
      <c r="AD6" s="116"/>
      <c r="AE6" s="116"/>
      <c r="AF6" s="117"/>
      <c r="AG6" s="118" t="s">
        <v>43</v>
      </c>
      <c r="AH6" s="119">
        <v>6.0</v>
      </c>
      <c r="AI6" s="119">
        <v>11.0</v>
      </c>
      <c r="AJ6" s="119">
        <v>469.0</v>
      </c>
      <c r="AK6" s="120">
        <v>0.0</v>
      </c>
      <c r="AL6" s="119">
        <v>70.0</v>
      </c>
      <c r="AM6" s="119">
        <v>262.0</v>
      </c>
      <c r="AN6" s="119">
        <v>4.0</v>
      </c>
      <c r="AO6" s="121">
        <v>40597.0</v>
      </c>
      <c r="AP6" s="131">
        <v>23591.0</v>
      </c>
      <c r="AQ6" s="119">
        <v>28.0</v>
      </c>
      <c r="AR6" s="119">
        <v>880.0</v>
      </c>
      <c r="AS6" s="119">
        <v>903.0</v>
      </c>
      <c r="AT6" s="119">
        <v>55.0</v>
      </c>
      <c r="AU6" s="119">
        <v>18.0</v>
      </c>
      <c r="AV6" s="119">
        <v>55.0</v>
      </c>
      <c r="AW6" s="120">
        <v>11.0</v>
      </c>
      <c r="AX6" s="120">
        <v>3819.0</v>
      </c>
      <c r="AY6" s="120">
        <v>77352.0</v>
      </c>
      <c r="AZ6" s="123">
        <v>0.04937170338194229</v>
      </c>
      <c r="BA6" s="123">
        <v>0.9506282966180577</v>
      </c>
      <c r="BB6" s="116"/>
      <c r="BC6" s="116"/>
      <c r="BD6" s="116"/>
      <c r="BE6" s="116"/>
      <c r="BF6" s="116"/>
      <c r="BG6" s="116"/>
      <c r="BH6" s="116"/>
      <c r="BI6" s="116"/>
    </row>
    <row r="7" ht="15.75" customHeight="1">
      <c r="A7" s="132"/>
      <c r="B7" s="38" t="s">
        <v>45</v>
      </c>
      <c r="C7" s="125">
        <v>14688.0</v>
      </c>
      <c r="D7" s="126">
        <v>10520.0</v>
      </c>
      <c r="E7" s="125">
        <v>2.0</v>
      </c>
      <c r="F7" s="127"/>
      <c r="G7" s="125"/>
      <c r="H7" s="125"/>
      <c r="I7" s="128"/>
      <c r="J7" s="128"/>
      <c r="K7" s="128"/>
      <c r="L7" s="126">
        <v>100967.0</v>
      </c>
      <c r="M7" s="126">
        <v>190677.0</v>
      </c>
      <c r="N7" s="126">
        <v>1501.0</v>
      </c>
      <c r="O7" s="128">
        <v>1118.0</v>
      </c>
      <c r="P7" s="126">
        <v>94411.0</v>
      </c>
      <c r="Q7" s="128">
        <v>943.0</v>
      </c>
      <c r="R7" s="129">
        <v>7.0</v>
      </c>
      <c r="S7" s="128">
        <v>353.0</v>
      </c>
      <c r="T7" s="130">
        <f t="shared" si="5"/>
        <v>25210</v>
      </c>
      <c r="U7" s="130">
        <f t="shared" si="6"/>
        <v>0</v>
      </c>
      <c r="V7" s="130">
        <f t="shared" si="7"/>
        <v>291644</v>
      </c>
      <c r="W7" s="130">
        <f t="shared" si="8"/>
        <v>98333</v>
      </c>
      <c r="X7" s="116">
        <f t="shared" si="9"/>
        <v>0.1304116165</v>
      </c>
      <c r="Y7" s="116">
        <f t="shared" si="10"/>
        <v>0.8695883835</v>
      </c>
      <c r="Z7" s="133"/>
      <c r="AA7" s="133"/>
      <c r="AB7" s="134"/>
      <c r="AC7" s="134"/>
      <c r="AD7" s="116"/>
      <c r="AE7" s="116"/>
      <c r="AF7" s="117"/>
      <c r="AG7" s="118" t="s">
        <v>45</v>
      </c>
      <c r="AH7" s="119">
        <v>13752.0</v>
      </c>
      <c r="AI7" s="119">
        <v>357.0</v>
      </c>
      <c r="AJ7" s="119">
        <v>3541.0</v>
      </c>
      <c r="AK7" s="120">
        <v>604.0</v>
      </c>
      <c r="AL7" s="119">
        <v>60.0</v>
      </c>
      <c r="AM7" s="119">
        <v>197.0</v>
      </c>
      <c r="AN7" s="119">
        <v>0.0</v>
      </c>
      <c r="AO7" s="121">
        <v>147385.0</v>
      </c>
      <c r="AP7" s="131">
        <v>81827.0</v>
      </c>
      <c r="AQ7" s="119">
        <v>1426.0</v>
      </c>
      <c r="AR7" s="119">
        <v>1057.0</v>
      </c>
      <c r="AS7" s="119">
        <v>20490.0</v>
      </c>
      <c r="AT7" s="119">
        <v>150.0</v>
      </c>
      <c r="AU7" s="119">
        <v>40.0</v>
      </c>
      <c r="AV7" s="119">
        <v>150.0</v>
      </c>
      <c r="AW7" s="120">
        <v>357.0</v>
      </c>
      <c r="AX7" s="120">
        <v>25481.0</v>
      </c>
      <c r="AY7" s="120">
        <v>421823.0</v>
      </c>
      <c r="AZ7" s="123">
        <v>0.0604068531113761</v>
      </c>
      <c r="BA7" s="123">
        <v>0.9395931468886239</v>
      </c>
      <c r="BB7" s="116"/>
      <c r="BC7" s="116"/>
      <c r="BD7" s="116"/>
      <c r="BE7" s="116"/>
      <c r="BF7" s="116"/>
      <c r="BG7" s="116"/>
      <c r="BH7" s="116"/>
      <c r="BI7" s="116"/>
    </row>
    <row r="8" ht="15.75" customHeight="1">
      <c r="A8" s="124"/>
      <c r="B8" s="38" t="s">
        <v>46</v>
      </c>
      <c r="C8" s="125">
        <v>1292.0</v>
      </c>
      <c r="D8" s="126">
        <v>2806.0</v>
      </c>
      <c r="E8" s="125">
        <v>0.0</v>
      </c>
      <c r="F8" s="127"/>
      <c r="G8" s="125"/>
      <c r="H8" s="125"/>
      <c r="I8" s="128"/>
      <c r="J8" s="128"/>
      <c r="K8" s="128"/>
      <c r="L8" s="126">
        <v>24273.0</v>
      </c>
      <c r="M8" s="126">
        <v>0.0</v>
      </c>
      <c r="N8" s="126">
        <v>495.0</v>
      </c>
      <c r="O8" s="128">
        <v>69.0</v>
      </c>
      <c r="P8" s="126">
        <v>2155.0</v>
      </c>
      <c r="Q8" s="128">
        <v>62.0</v>
      </c>
      <c r="R8" s="129">
        <v>0.0</v>
      </c>
      <c r="S8" s="128">
        <v>0.0</v>
      </c>
      <c r="T8" s="130">
        <f t="shared" si="5"/>
        <v>4098</v>
      </c>
      <c r="U8" s="130">
        <f t="shared" si="6"/>
        <v>0</v>
      </c>
      <c r="V8" s="130">
        <f t="shared" si="7"/>
        <v>24273</v>
      </c>
      <c r="W8" s="130">
        <f t="shared" si="8"/>
        <v>2781</v>
      </c>
      <c r="X8" s="116">
        <f t="shared" si="9"/>
        <v>0.1906756002</v>
      </c>
      <c r="Y8" s="116">
        <f t="shared" si="10"/>
        <v>0.8093243998</v>
      </c>
      <c r="Z8" s="114">
        <f t="shared" ref="Z8:Z11" si="11">SUM(C8:K8)</f>
        <v>4098</v>
      </c>
      <c r="AA8" s="114">
        <f t="shared" ref="AA8:AA11" si="12">((L8+M8)-(SUM(N8:S8)))</f>
        <v>21492</v>
      </c>
      <c r="AB8" s="115">
        <f t="shared" ref="AB8:AB11" si="13">Z8/AA8</f>
        <v>0.1906756002</v>
      </c>
      <c r="AC8" s="115">
        <f t="shared" ref="AC8:AC11" si="14">100%-AB8</f>
        <v>0.8093243998</v>
      </c>
      <c r="AD8" s="116"/>
      <c r="AE8" s="116"/>
      <c r="AF8" s="117"/>
      <c r="AG8" s="118" t="s">
        <v>46</v>
      </c>
      <c r="AH8" s="119">
        <v>973.0</v>
      </c>
      <c r="AI8" s="119">
        <v>0.0</v>
      </c>
      <c r="AJ8" s="119">
        <v>713.0</v>
      </c>
      <c r="AK8" s="120">
        <v>0.0</v>
      </c>
      <c r="AL8" s="119">
        <v>5.0</v>
      </c>
      <c r="AM8" s="119">
        <v>19.0</v>
      </c>
      <c r="AN8" s="119">
        <v>3.0</v>
      </c>
      <c r="AO8" s="121">
        <v>22890.0</v>
      </c>
      <c r="AP8" s="131">
        <v>13043.0</v>
      </c>
      <c r="AQ8" s="119">
        <v>328.0</v>
      </c>
      <c r="AR8" s="119">
        <v>38.0</v>
      </c>
      <c r="AS8" s="119">
        <v>781.0</v>
      </c>
      <c r="AT8" s="119">
        <v>20.0</v>
      </c>
      <c r="AU8" s="119">
        <v>14.0</v>
      </c>
      <c r="AV8" s="119">
        <v>20.0</v>
      </c>
      <c r="AW8" s="120">
        <v>0.0</v>
      </c>
      <c r="AX8" s="120">
        <v>1599.0</v>
      </c>
      <c r="AY8" s="120">
        <v>98309.0</v>
      </c>
      <c r="AZ8" s="123">
        <v>0.016265041857815663</v>
      </c>
      <c r="BA8" s="123">
        <v>0.9837349581421844</v>
      </c>
      <c r="BB8" s="116"/>
      <c r="BC8" s="116"/>
      <c r="BD8" s="116"/>
      <c r="BE8" s="116"/>
      <c r="BF8" s="116"/>
      <c r="BG8" s="116"/>
      <c r="BH8" s="116"/>
      <c r="BI8" s="116"/>
    </row>
    <row r="9" ht="15.75" customHeight="1">
      <c r="A9" s="124"/>
      <c r="B9" s="38" t="s">
        <v>47</v>
      </c>
      <c r="C9" s="125">
        <v>33.0</v>
      </c>
      <c r="D9" s="126">
        <v>1119.0</v>
      </c>
      <c r="E9" s="125">
        <v>0.0</v>
      </c>
      <c r="F9" s="127"/>
      <c r="G9" s="125"/>
      <c r="H9" s="125"/>
      <c r="I9" s="128"/>
      <c r="J9" s="128"/>
      <c r="K9" s="128"/>
      <c r="L9" s="126">
        <v>12017.0</v>
      </c>
      <c r="M9" s="126">
        <v>18176.0</v>
      </c>
      <c r="N9" s="126">
        <v>430.0</v>
      </c>
      <c r="O9" s="128">
        <v>500.0</v>
      </c>
      <c r="P9" s="126">
        <v>726.0</v>
      </c>
      <c r="Q9" s="128">
        <v>55.0</v>
      </c>
      <c r="R9" s="129">
        <v>0.0</v>
      </c>
      <c r="S9" s="128">
        <v>3.0</v>
      </c>
      <c r="T9" s="130">
        <f t="shared" si="5"/>
        <v>1152</v>
      </c>
      <c r="U9" s="130">
        <f t="shared" si="6"/>
        <v>0</v>
      </c>
      <c r="V9" s="130">
        <f t="shared" si="7"/>
        <v>30193</v>
      </c>
      <c r="W9" s="130">
        <f t="shared" si="8"/>
        <v>1714</v>
      </c>
      <c r="X9" s="116">
        <f t="shared" si="9"/>
        <v>0.04045085853</v>
      </c>
      <c r="Y9" s="116">
        <f t="shared" si="10"/>
        <v>0.9595491415</v>
      </c>
      <c r="Z9" s="114">
        <f t="shared" si="11"/>
        <v>1152</v>
      </c>
      <c r="AA9" s="114">
        <f t="shared" si="12"/>
        <v>28479</v>
      </c>
      <c r="AB9" s="115">
        <f t="shared" si="13"/>
        <v>0.04045085853</v>
      </c>
      <c r="AC9" s="115">
        <f t="shared" si="14"/>
        <v>0.9595491415</v>
      </c>
      <c r="AD9" s="116"/>
      <c r="AE9" s="116"/>
      <c r="AF9" s="117"/>
      <c r="AG9" s="118" t="s">
        <v>47</v>
      </c>
      <c r="AH9" s="119">
        <v>17.0</v>
      </c>
      <c r="AI9" s="119">
        <v>2662.0</v>
      </c>
      <c r="AJ9" s="119">
        <v>915.0</v>
      </c>
      <c r="AK9" s="120">
        <v>6.0</v>
      </c>
      <c r="AL9" s="119">
        <v>29.0</v>
      </c>
      <c r="AM9" s="119">
        <v>66.0</v>
      </c>
      <c r="AN9" s="119">
        <v>4.0</v>
      </c>
      <c r="AO9" s="121">
        <v>21962.0</v>
      </c>
      <c r="AP9" s="131">
        <v>21937.0</v>
      </c>
      <c r="AQ9" s="119">
        <v>69.0</v>
      </c>
      <c r="AR9" s="119">
        <v>1064.0</v>
      </c>
      <c r="AS9" s="119">
        <v>33.0</v>
      </c>
      <c r="AT9" s="119">
        <v>44.0</v>
      </c>
      <c r="AU9" s="119">
        <v>0.0</v>
      </c>
      <c r="AV9" s="119">
        <v>44.0</v>
      </c>
      <c r="AW9" s="120">
        <v>2662.0</v>
      </c>
      <c r="AX9" s="120">
        <v>770.0</v>
      </c>
      <c r="AY9" s="120">
        <v>38579.0</v>
      </c>
      <c r="AZ9" s="123">
        <v>0.019959045076336866</v>
      </c>
      <c r="BA9" s="123">
        <v>0.9800409549236632</v>
      </c>
      <c r="BB9" s="116"/>
      <c r="BC9" s="116"/>
      <c r="BD9" s="116"/>
      <c r="BE9" s="116"/>
      <c r="BF9" s="116"/>
      <c r="BG9" s="116"/>
      <c r="BH9" s="116"/>
      <c r="BI9" s="116"/>
    </row>
    <row r="10" ht="15.75" customHeight="1">
      <c r="A10" s="124"/>
      <c r="B10" s="38" t="s">
        <v>48</v>
      </c>
      <c r="C10" s="125">
        <v>0.0</v>
      </c>
      <c r="D10" s="126">
        <v>2016.0</v>
      </c>
      <c r="E10" s="125">
        <v>0.0</v>
      </c>
      <c r="F10" s="127"/>
      <c r="G10" s="125"/>
      <c r="H10" s="125"/>
      <c r="I10" s="128"/>
      <c r="J10" s="128"/>
      <c r="K10" s="128"/>
      <c r="L10" s="126">
        <v>59772.0</v>
      </c>
      <c r="M10" s="126">
        <v>125197.0</v>
      </c>
      <c r="N10" s="126">
        <v>68.0</v>
      </c>
      <c r="O10" s="128">
        <v>13.0</v>
      </c>
      <c r="P10" s="126">
        <v>5970.0</v>
      </c>
      <c r="Q10" s="128">
        <v>57.0</v>
      </c>
      <c r="R10" s="129">
        <v>0.0</v>
      </c>
      <c r="S10" s="128">
        <v>31.0</v>
      </c>
      <c r="T10" s="130">
        <f t="shared" si="5"/>
        <v>2016</v>
      </c>
      <c r="U10" s="130">
        <f t="shared" si="6"/>
        <v>0</v>
      </c>
      <c r="V10" s="130">
        <f t="shared" si="7"/>
        <v>184969</v>
      </c>
      <c r="W10" s="130">
        <f t="shared" si="8"/>
        <v>6139</v>
      </c>
      <c r="X10" s="116">
        <f t="shared" si="9"/>
        <v>0.0112732763</v>
      </c>
      <c r="Y10" s="116">
        <f t="shared" si="10"/>
        <v>0.9887267237</v>
      </c>
      <c r="Z10" s="114">
        <f t="shared" si="11"/>
        <v>2016</v>
      </c>
      <c r="AA10" s="114">
        <f t="shared" si="12"/>
        <v>178830</v>
      </c>
      <c r="AB10" s="115">
        <f t="shared" si="13"/>
        <v>0.0112732763</v>
      </c>
      <c r="AC10" s="115">
        <f t="shared" si="14"/>
        <v>0.9887267237</v>
      </c>
      <c r="AD10" s="116"/>
      <c r="AE10" s="116"/>
      <c r="AF10" s="117"/>
      <c r="AG10" s="118" t="s">
        <v>48</v>
      </c>
      <c r="AH10" s="119">
        <v>407.0</v>
      </c>
      <c r="AI10" s="119">
        <v>0.0</v>
      </c>
      <c r="AJ10" s="119">
        <v>4849.0</v>
      </c>
      <c r="AK10" s="120">
        <v>11.0</v>
      </c>
      <c r="AL10" s="119">
        <v>4.0</v>
      </c>
      <c r="AM10" s="119">
        <v>396.0</v>
      </c>
      <c r="AN10" s="119">
        <v>41.0</v>
      </c>
      <c r="AO10" s="121">
        <v>13273.0</v>
      </c>
      <c r="AP10" s="131">
        <v>3013.0</v>
      </c>
      <c r="AQ10" s="119">
        <v>0.0</v>
      </c>
      <c r="AR10" s="119">
        <v>21.0</v>
      </c>
      <c r="AS10" s="119">
        <v>3707.0</v>
      </c>
      <c r="AT10" s="119">
        <v>28.0</v>
      </c>
      <c r="AU10" s="119">
        <v>0.0</v>
      </c>
      <c r="AV10" s="119">
        <v>28.0</v>
      </c>
      <c r="AW10" s="120">
        <v>0.0</v>
      </c>
      <c r="AX10" s="120">
        <v>5333.0</v>
      </c>
      <c r="AY10" s="120">
        <v>238678.0</v>
      </c>
      <c r="AZ10" s="123">
        <v>0.022343911043330344</v>
      </c>
      <c r="BA10" s="123">
        <v>0.9776560889566697</v>
      </c>
      <c r="BB10" s="116"/>
      <c r="BC10" s="116"/>
      <c r="BD10" s="116"/>
      <c r="BE10" s="116"/>
      <c r="BF10" s="116"/>
      <c r="BG10" s="116"/>
      <c r="BH10" s="116"/>
      <c r="BI10" s="116"/>
    </row>
    <row r="11" ht="15.75" customHeight="1">
      <c r="A11" s="132"/>
      <c r="B11" s="38" t="s">
        <v>49</v>
      </c>
      <c r="C11" s="125">
        <v>884.0</v>
      </c>
      <c r="D11" s="126">
        <v>1589.0</v>
      </c>
      <c r="E11" s="125">
        <v>30.0</v>
      </c>
      <c r="F11" s="127"/>
      <c r="G11" s="125"/>
      <c r="H11" s="125"/>
      <c r="I11" s="128"/>
      <c r="J11" s="128"/>
      <c r="K11" s="128"/>
      <c r="L11" s="126">
        <v>25120.0</v>
      </c>
      <c r="M11" s="126">
        <v>20273.0</v>
      </c>
      <c r="N11" s="126">
        <v>511.0</v>
      </c>
      <c r="O11" s="128">
        <v>767.0</v>
      </c>
      <c r="P11" s="126">
        <v>1033.0</v>
      </c>
      <c r="Q11" s="128">
        <v>76.0</v>
      </c>
      <c r="R11" s="129">
        <v>29.0</v>
      </c>
      <c r="S11" s="128">
        <v>5.0</v>
      </c>
      <c r="T11" s="130">
        <f t="shared" si="5"/>
        <v>2503</v>
      </c>
      <c r="U11" s="130">
        <f t="shared" si="6"/>
        <v>0</v>
      </c>
      <c r="V11" s="130">
        <f t="shared" si="7"/>
        <v>45393</v>
      </c>
      <c r="W11" s="130">
        <f t="shared" si="8"/>
        <v>2421</v>
      </c>
      <c r="X11" s="116">
        <f t="shared" si="9"/>
        <v>0.05824723075</v>
      </c>
      <c r="Y11" s="116">
        <f t="shared" si="10"/>
        <v>0.9417527692</v>
      </c>
      <c r="Z11" s="114">
        <f t="shared" si="11"/>
        <v>2503</v>
      </c>
      <c r="AA11" s="114">
        <f t="shared" si="12"/>
        <v>42972</v>
      </c>
      <c r="AB11" s="115">
        <f t="shared" si="13"/>
        <v>0.05824723075</v>
      </c>
      <c r="AC11" s="115">
        <f t="shared" si="14"/>
        <v>0.9417527692</v>
      </c>
      <c r="AD11" s="116"/>
      <c r="AE11" s="116"/>
      <c r="AF11" s="117"/>
      <c r="AG11" s="118" t="s">
        <v>49</v>
      </c>
      <c r="AH11" s="119">
        <v>169.0</v>
      </c>
      <c r="AI11" s="119">
        <v>0.0</v>
      </c>
      <c r="AJ11" s="119">
        <v>1147.0</v>
      </c>
      <c r="AK11" s="120">
        <v>134.0</v>
      </c>
      <c r="AL11" s="119">
        <v>135.0</v>
      </c>
      <c r="AM11" s="119">
        <v>302.0</v>
      </c>
      <c r="AN11" s="119">
        <v>8.0</v>
      </c>
      <c r="AO11" s="121">
        <v>73966.0</v>
      </c>
      <c r="AP11" s="131">
        <v>55569.0</v>
      </c>
      <c r="AQ11" s="119">
        <v>162.0</v>
      </c>
      <c r="AR11" s="119">
        <v>5002.0</v>
      </c>
      <c r="AS11" s="119">
        <v>3905.0</v>
      </c>
      <c r="AT11" s="119">
        <v>378.0</v>
      </c>
      <c r="AU11" s="119">
        <v>567.0</v>
      </c>
      <c r="AV11" s="119">
        <v>378.0</v>
      </c>
      <c r="AW11" s="120">
        <v>0.0</v>
      </c>
      <c r="AX11" s="120">
        <v>2057.0</v>
      </c>
      <c r="AY11" s="120">
        <v>48186.0</v>
      </c>
      <c r="AZ11" s="123">
        <v>0.04268874776906156</v>
      </c>
      <c r="BA11" s="123">
        <v>0.9573112522309385</v>
      </c>
      <c r="BB11" s="116"/>
      <c r="BC11" s="116"/>
      <c r="BD11" s="116"/>
      <c r="BE11" s="116"/>
      <c r="BF11" s="116"/>
      <c r="BG11" s="116"/>
      <c r="BH11" s="116"/>
      <c r="BI11" s="116"/>
    </row>
    <row r="12" ht="15.75" customHeight="1">
      <c r="A12" s="132"/>
      <c r="B12" s="38" t="s">
        <v>50</v>
      </c>
      <c r="C12" s="125">
        <v>113.0</v>
      </c>
      <c r="D12" s="126">
        <v>7779.0</v>
      </c>
      <c r="E12" s="125">
        <v>0.0</v>
      </c>
      <c r="F12" s="127"/>
      <c r="G12" s="125"/>
      <c r="H12" s="125"/>
      <c r="I12" s="128"/>
      <c r="J12" s="128"/>
      <c r="K12" s="128"/>
      <c r="L12" s="126">
        <v>11734.0</v>
      </c>
      <c r="M12" s="126">
        <v>2812.0</v>
      </c>
      <c r="N12" s="126">
        <v>0.0</v>
      </c>
      <c r="O12" s="128">
        <v>28.0</v>
      </c>
      <c r="P12" s="126">
        <v>3510.0</v>
      </c>
      <c r="Q12" s="128">
        <v>11.0</v>
      </c>
      <c r="R12" s="129">
        <v>0.0</v>
      </c>
      <c r="S12" s="128">
        <v>0.0</v>
      </c>
      <c r="T12" s="130">
        <f t="shared" si="5"/>
        <v>7892</v>
      </c>
      <c r="U12" s="130">
        <f t="shared" si="6"/>
        <v>0</v>
      </c>
      <c r="V12" s="130">
        <f t="shared" si="7"/>
        <v>14546</v>
      </c>
      <c r="W12" s="130">
        <f t="shared" si="8"/>
        <v>3549</v>
      </c>
      <c r="X12" s="116">
        <f t="shared" si="9"/>
        <v>0.7176502683</v>
      </c>
      <c r="Y12" s="116">
        <f t="shared" si="10"/>
        <v>0.2823497317</v>
      </c>
      <c r="Z12" s="133"/>
      <c r="AA12" s="133"/>
      <c r="AB12" s="134"/>
      <c r="AC12" s="134"/>
      <c r="AD12" s="116"/>
      <c r="AE12" s="116"/>
      <c r="AF12" s="117"/>
      <c r="AG12" s="118" t="s">
        <v>50</v>
      </c>
      <c r="AH12" s="119">
        <v>226.0</v>
      </c>
      <c r="AI12" s="119">
        <v>860.0</v>
      </c>
      <c r="AJ12" s="119">
        <v>514.0</v>
      </c>
      <c r="AK12" s="120">
        <v>31.0</v>
      </c>
      <c r="AL12" s="119">
        <v>3001.0</v>
      </c>
      <c r="AM12" s="119">
        <v>1982.0</v>
      </c>
      <c r="AN12" s="119">
        <v>559.0</v>
      </c>
      <c r="AO12" s="121">
        <v>242392.0</v>
      </c>
      <c r="AP12" s="131">
        <v>220608.0</v>
      </c>
      <c r="AQ12" s="119">
        <v>490.0</v>
      </c>
      <c r="AR12" s="119">
        <v>45067.0</v>
      </c>
      <c r="AS12" s="119">
        <v>6616.0</v>
      </c>
      <c r="AT12" s="119">
        <v>609.0</v>
      </c>
      <c r="AU12" s="119">
        <v>242.0</v>
      </c>
      <c r="AV12" s="119">
        <v>609.0</v>
      </c>
      <c r="AW12" s="120">
        <v>860.0</v>
      </c>
      <c r="AX12" s="135"/>
      <c r="AY12" s="135"/>
      <c r="AZ12" s="136"/>
      <c r="BA12" s="136"/>
      <c r="BB12" s="116"/>
      <c r="BC12" s="116"/>
      <c r="BD12" s="116"/>
      <c r="BE12" s="116"/>
      <c r="BF12" s="116"/>
      <c r="BG12" s="116"/>
      <c r="BH12" s="116"/>
      <c r="BI12" s="116"/>
    </row>
    <row r="13" ht="15.75" customHeight="1">
      <c r="A13" s="124"/>
      <c r="B13" s="38" t="s">
        <v>51</v>
      </c>
      <c r="C13" s="125">
        <v>496.0</v>
      </c>
      <c r="D13" s="126">
        <v>10301.0</v>
      </c>
      <c r="E13" s="125">
        <v>455.0</v>
      </c>
      <c r="F13" s="127"/>
      <c r="G13" s="125"/>
      <c r="H13" s="125"/>
      <c r="I13" s="128"/>
      <c r="J13" s="128"/>
      <c r="K13" s="128"/>
      <c r="L13" s="126">
        <v>77087.0</v>
      </c>
      <c r="M13" s="126">
        <v>60835.0</v>
      </c>
      <c r="N13" s="126">
        <v>257.0</v>
      </c>
      <c r="O13" s="128">
        <v>33.0</v>
      </c>
      <c r="P13" s="126">
        <v>4450.0</v>
      </c>
      <c r="Q13" s="128" t="s">
        <v>204</v>
      </c>
      <c r="R13" s="137" t="s">
        <v>204</v>
      </c>
      <c r="S13" s="128" t="s">
        <v>204</v>
      </c>
      <c r="T13" s="130">
        <f t="shared" si="5"/>
        <v>11252</v>
      </c>
      <c r="U13" s="130">
        <f t="shared" si="6"/>
        <v>0</v>
      </c>
      <c r="V13" s="130">
        <f t="shared" si="7"/>
        <v>137922</v>
      </c>
      <c r="W13" s="130" t="str">
        <f t="shared" si="8"/>
        <v>#VALUE!</v>
      </c>
      <c r="X13" s="116" t="str">
        <f t="shared" si="9"/>
        <v>#VALUE!</v>
      </c>
      <c r="Y13" s="116" t="str">
        <f t="shared" si="10"/>
        <v>#VALUE!</v>
      </c>
      <c r="Z13" s="114">
        <f t="shared" ref="Z13:Z20" si="15">SUM(C13:K13)</f>
        <v>11252</v>
      </c>
      <c r="AA13" s="114">
        <f t="shared" ref="AA13:AA20" si="16">((L13+M13)-(SUM(N13:S13)))</f>
        <v>133182</v>
      </c>
      <c r="AB13" s="115">
        <f t="shared" ref="AB13:AB20" si="17">Z13/AA13</f>
        <v>0.08448589149</v>
      </c>
      <c r="AC13" s="115">
        <f t="shared" ref="AC13:AC20" si="18">100%-AB13</f>
        <v>0.9155141085</v>
      </c>
      <c r="AD13" s="116"/>
      <c r="AE13" s="116"/>
      <c r="AF13" s="117"/>
      <c r="AG13" s="118" t="s">
        <v>51</v>
      </c>
      <c r="AH13" s="119">
        <v>0.0</v>
      </c>
      <c r="AI13" s="119">
        <v>0.0</v>
      </c>
      <c r="AJ13" s="119">
        <v>3351.0</v>
      </c>
      <c r="AK13" s="120">
        <v>35.0</v>
      </c>
      <c r="AL13" s="119">
        <v>582.0</v>
      </c>
      <c r="AM13" s="119">
        <v>259.0</v>
      </c>
      <c r="AN13" s="119">
        <v>6.0</v>
      </c>
      <c r="AO13" s="121">
        <v>59720.0</v>
      </c>
      <c r="AP13" s="131">
        <v>37363.0</v>
      </c>
      <c r="AQ13" s="119">
        <v>40.0</v>
      </c>
      <c r="AR13" s="119">
        <v>7.0</v>
      </c>
      <c r="AS13" s="119">
        <v>6388.0</v>
      </c>
      <c r="AT13" s="119">
        <v>978.0</v>
      </c>
      <c r="AU13" s="119">
        <v>27.0</v>
      </c>
      <c r="AV13" s="119">
        <v>978.0</v>
      </c>
      <c r="AW13" s="120">
        <v>0.0</v>
      </c>
      <c r="AX13" s="120">
        <v>2678.0</v>
      </c>
      <c r="AY13" s="120">
        <v>125683.0</v>
      </c>
      <c r="AZ13" s="123">
        <v>0.021307575407970847</v>
      </c>
      <c r="BA13" s="123">
        <v>0.9786924245920292</v>
      </c>
      <c r="BB13" s="116"/>
      <c r="BC13" s="116"/>
      <c r="BD13" s="116"/>
      <c r="BE13" s="116"/>
      <c r="BF13" s="116"/>
      <c r="BG13" s="116"/>
      <c r="BH13" s="116"/>
      <c r="BI13" s="116"/>
    </row>
    <row r="14" ht="15.75" customHeight="1">
      <c r="A14" s="124"/>
      <c r="B14" s="38" t="s">
        <v>52</v>
      </c>
      <c r="C14" s="125" t="s">
        <v>205</v>
      </c>
      <c r="D14" s="126">
        <v>2477.0</v>
      </c>
      <c r="E14" s="125" t="s">
        <v>205</v>
      </c>
      <c r="F14" s="127"/>
      <c r="G14" s="125"/>
      <c r="H14" s="125"/>
      <c r="I14" s="128"/>
      <c r="J14" s="128"/>
      <c r="K14" s="128"/>
      <c r="L14" s="126" t="s">
        <v>205</v>
      </c>
      <c r="M14" s="126">
        <v>74156.0</v>
      </c>
      <c r="N14" s="138" t="s">
        <v>205</v>
      </c>
      <c r="O14" s="128" t="s">
        <v>205</v>
      </c>
      <c r="P14" s="138" t="s">
        <v>205</v>
      </c>
      <c r="Q14" s="128" t="s">
        <v>205</v>
      </c>
      <c r="R14" s="137" t="s">
        <v>205</v>
      </c>
      <c r="S14" s="128" t="s">
        <v>205</v>
      </c>
      <c r="T14" s="130" t="str">
        <f t="shared" si="5"/>
        <v>#VALUE!</v>
      </c>
      <c r="U14" s="130">
        <f t="shared" si="6"/>
        <v>0</v>
      </c>
      <c r="V14" s="130" t="str">
        <f t="shared" si="7"/>
        <v>#VALUE!</v>
      </c>
      <c r="W14" s="130" t="str">
        <f t="shared" si="8"/>
        <v>#VALUE!</v>
      </c>
      <c r="X14" s="116" t="str">
        <f t="shared" si="9"/>
        <v>#VALUE!</v>
      </c>
      <c r="Y14" s="116" t="str">
        <f t="shared" si="10"/>
        <v>#VALUE!</v>
      </c>
      <c r="Z14" s="114">
        <f t="shared" si="15"/>
        <v>2477</v>
      </c>
      <c r="AA14" s="114" t="str">
        <f t="shared" si="16"/>
        <v>#VALUE!</v>
      </c>
      <c r="AB14" s="115" t="str">
        <f t="shared" si="17"/>
        <v>#VALUE!</v>
      </c>
      <c r="AC14" s="115" t="str">
        <f t="shared" si="18"/>
        <v>#VALUE!</v>
      </c>
      <c r="AD14" s="116"/>
      <c r="AE14" s="116"/>
      <c r="AF14" s="117"/>
      <c r="AG14" s="118" t="s">
        <v>52</v>
      </c>
      <c r="AH14" s="119">
        <v>18.0</v>
      </c>
      <c r="AI14" s="119">
        <v>1183.0</v>
      </c>
      <c r="AJ14" s="119">
        <v>1326.0</v>
      </c>
      <c r="AK14" s="120">
        <v>0.0</v>
      </c>
      <c r="AL14" s="119">
        <v>15.0</v>
      </c>
      <c r="AM14" s="119">
        <v>132.0</v>
      </c>
      <c r="AN14" s="119">
        <v>36.0</v>
      </c>
      <c r="AO14" s="121">
        <v>31011.0</v>
      </c>
      <c r="AP14" s="131">
        <v>21424.0</v>
      </c>
      <c r="AQ14" s="119">
        <v>324.0</v>
      </c>
      <c r="AR14" s="119">
        <v>1543.0</v>
      </c>
      <c r="AS14" s="119">
        <v>604.0</v>
      </c>
      <c r="AT14" s="119">
        <v>115.0</v>
      </c>
      <c r="AU14" s="119">
        <v>23.0</v>
      </c>
      <c r="AV14" s="119">
        <v>115.0</v>
      </c>
      <c r="AW14" s="120">
        <v>1183.0</v>
      </c>
      <c r="AX14" s="120">
        <v>2470.0</v>
      </c>
      <c r="AY14" s="120">
        <v>425733.0</v>
      </c>
      <c r="AZ14" s="123">
        <v>0.005801758379077967</v>
      </c>
      <c r="BA14" s="123">
        <v>0.9941982416209221</v>
      </c>
      <c r="BB14" s="116"/>
      <c r="BC14" s="116"/>
      <c r="BD14" s="116"/>
      <c r="BE14" s="116"/>
      <c r="BF14" s="116"/>
      <c r="BG14" s="116"/>
      <c r="BH14" s="116"/>
      <c r="BI14" s="116"/>
    </row>
    <row r="15" ht="15.75" customHeight="1">
      <c r="A15" s="124"/>
      <c r="B15" s="38" t="s">
        <v>53</v>
      </c>
      <c r="C15" s="125">
        <v>0.0</v>
      </c>
      <c r="D15" s="126">
        <v>1555.0</v>
      </c>
      <c r="E15" s="125">
        <v>0.0</v>
      </c>
      <c r="F15" s="127"/>
      <c r="G15" s="125"/>
      <c r="H15" s="125"/>
      <c r="I15" s="128"/>
      <c r="J15" s="128"/>
      <c r="K15" s="128"/>
      <c r="L15" s="126">
        <v>19290.0</v>
      </c>
      <c r="M15" s="126">
        <v>19444.0</v>
      </c>
      <c r="N15" s="126">
        <v>0.0</v>
      </c>
      <c r="O15" s="128">
        <v>16.0</v>
      </c>
      <c r="P15" s="126">
        <v>1682.0</v>
      </c>
      <c r="Q15" s="128">
        <v>0.0</v>
      </c>
      <c r="R15" s="129">
        <v>0.0</v>
      </c>
      <c r="S15" s="128">
        <v>5.0</v>
      </c>
      <c r="T15" s="130">
        <f t="shared" si="5"/>
        <v>1555</v>
      </c>
      <c r="U15" s="130">
        <f t="shared" si="6"/>
        <v>0</v>
      </c>
      <c r="V15" s="130">
        <f t="shared" si="7"/>
        <v>38734</v>
      </c>
      <c r="W15" s="130">
        <f t="shared" si="8"/>
        <v>1703</v>
      </c>
      <c r="X15" s="116">
        <f t="shared" si="9"/>
        <v>0.04199184467</v>
      </c>
      <c r="Y15" s="116">
        <f t="shared" si="10"/>
        <v>0.9580081553</v>
      </c>
      <c r="Z15" s="114">
        <f t="shared" si="15"/>
        <v>1555</v>
      </c>
      <c r="AA15" s="114">
        <f t="shared" si="16"/>
        <v>37031</v>
      </c>
      <c r="AB15" s="115">
        <f t="shared" si="17"/>
        <v>0.04199184467</v>
      </c>
      <c r="AC15" s="115">
        <f t="shared" si="18"/>
        <v>0.9580081553</v>
      </c>
      <c r="AD15" s="116"/>
      <c r="AE15" s="116"/>
      <c r="AF15" s="117"/>
      <c r="AG15" s="118" t="s">
        <v>53</v>
      </c>
      <c r="AH15" s="119">
        <v>0.0</v>
      </c>
      <c r="AI15" s="119">
        <v>2092.0</v>
      </c>
      <c r="AJ15" s="119">
        <v>647.0</v>
      </c>
      <c r="AK15" s="120">
        <v>167.0</v>
      </c>
      <c r="AL15" s="119">
        <v>172.0</v>
      </c>
      <c r="AM15" s="119">
        <v>162.0</v>
      </c>
      <c r="AN15" s="119">
        <v>17.0</v>
      </c>
      <c r="AO15" s="121">
        <v>22205.0</v>
      </c>
      <c r="AP15" s="131">
        <v>15763.0</v>
      </c>
      <c r="AQ15" s="119">
        <v>52.0</v>
      </c>
      <c r="AR15" s="119">
        <v>93.0</v>
      </c>
      <c r="AS15" s="119">
        <v>652.0</v>
      </c>
      <c r="AT15" s="119">
        <v>94.0</v>
      </c>
      <c r="AU15" s="119">
        <v>88.0</v>
      </c>
      <c r="AV15" s="119">
        <v>94.0</v>
      </c>
      <c r="AW15" s="120">
        <v>2092.0</v>
      </c>
      <c r="AX15" s="120">
        <v>1978.0</v>
      </c>
      <c r="AY15" s="120">
        <v>38295.0</v>
      </c>
      <c r="AZ15" s="123">
        <v>0.05165165165165165</v>
      </c>
      <c r="BA15" s="123">
        <v>0.9483483483483484</v>
      </c>
      <c r="BB15" s="116"/>
      <c r="BC15" s="116"/>
      <c r="BD15" s="116"/>
      <c r="BE15" s="116"/>
      <c r="BF15" s="116"/>
      <c r="BG15" s="116"/>
      <c r="BH15" s="116"/>
      <c r="BI15" s="116"/>
    </row>
    <row r="16" ht="15.75" customHeight="1">
      <c r="A16" s="124"/>
      <c r="B16" s="38" t="s">
        <v>54</v>
      </c>
      <c r="C16" s="125">
        <v>0.0</v>
      </c>
      <c r="D16" s="126">
        <v>12693.0</v>
      </c>
      <c r="E16" s="125" t="s">
        <v>204</v>
      </c>
      <c r="F16" s="139"/>
      <c r="G16" s="125"/>
      <c r="H16" s="125"/>
      <c r="I16" s="128"/>
      <c r="J16" s="128"/>
      <c r="K16" s="128"/>
      <c r="L16" s="126">
        <v>148016.0</v>
      </c>
      <c r="M16" s="126">
        <v>69264.0</v>
      </c>
      <c r="N16" s="126">
        <v>5381.0</v>
      </c>
      <c r="O16" s="128">
        <v>817.0</v>
      </c>
      <c r="P16" s="126">
        <v>81886.0</v>
      </c>
      <c r="Q16" s="128">
        <v>3546.0</v>
      </c>
      <c r="R16" s="129">
        <v>22.0</v>
      </c>
      <c r="S16" s="128">
        <v>638.0</v>
      </c>
      <c r="T16" s="130" t="str">
        <f t="shared" si="5"/>
        <v>#VALUE!</v>
      </c>
      <c r="U16" s="130">
        <f t="shared" si="6"/>
        <v>0</v>
      </c>
      <c r="V16" s="130">
        <f t="shared" si="7"/>
        <v>217280</v>
      </c>
      <c r="W16" s="130">
        <f t="shared" si="8"/>
        <v>92290</v>
      </c>
      <c r="X16" s="116" t="str">
        <f t="shared" si="9"/>
        <v>#VALUE!</v>
      </c>
      <c r="Y16" s="116" t="str">
        <f t="shared" si="10"/>
        <v>#VALUE!</v>
      </c>
      <c r="Z16" s="114">
        <f t="shared" si="15"/>
        <v>12693</v>
      </c>
      <c r="AA16" s="114">
        <f t="shared" si="16"/>
        <v>124990</v>
      </c>
      <c r="AB16" s="115">
        <f t="shared" si="17"/>
        <v>0.1015521242</v>
      </c>
      <c r="AC16" s="115">
        <f t="shared" si="18"/>
        <v>0.8984478758</v>
      </c>
      <c r="AD16" s="116"/>
      <c r="AE16" s="116"/>
      <c r="AF16" s="117"/>
      <c r="AG16" s="118" t="s">
        <v>54</v>
      </c>
      <c r="AH16" s="119">
        <v>10996.0</v>
      </c>
      <c r="AI16" s="119">
        <v>12.0</v>
      </c>
      <c r="AJ16" s="119">
        <v>2863.0</v>
      </c>
      <c r="AK16" s="120">
        <v>0.0</v>
      </c>
      <c r="AL16" s="119">
        <v>45.0</v>
      </c>
      <c r="AM16" s="119">
        <v>972.0</v>
      </c>
      <c r="AN16" s="119">
        <v>255.0</v>
      </c>
      <c r="AO16" s="121">
        <v>359304.0</v>
      </c>
      <c r="AP16" s="131">
        <v>78524.0</v>
      </c>
      <c r="AQ16" s="119">
        <v>10997.0</v>
      </c>
      <c r="AR16" s="119">
        <v>15631.0</v>
      </c>
      <c r="AS16" s="119">
        <v>21405.0</v>
      </c>
      <c r="AT16" s="119">
        <v>23.0</v>
      </c>
      <c r="AU16" s="119">
        <v>69.0</v>
      </c>
      <c r="AV16" s="119">
        <v>23.0</v>
      </c>
      <c r="AW16" s="120">
        <v>12.0</v>
      </c>
      <c r="AX16" s="120">
        <v>1558.0</v>
      </c>
      <c r="AY16" s="120">
        <v>139822.0</v>
      </c>
      <c r="AZ16" s="123">
        <v>0.01114273862482299</v>
      </c>
      <c r="BA16" s="123">
        <v>0.988857261375177</v>
      </c>
      <c r="BB16" s="116"/>
      <c r="BC16" s="116"/>
      <c r="BD16" s="116"/>
      <c r="BE16" s="116"/>
      <c r="BF16" s="116"/>
      <c r="BG16" s="116"/>
      <c r="BH16" s="116"/>
      <c r="BI16" s="116"/>
    </row>
    <row r="17" ht="15.75" customHeight="1">
      <c r="A17" s="124"/>
      <c r="B17" s="38" t="s">
        <v>55</v>
      </c>
      <c r="C17" s="125">
        <v>44.0</v>
      </c>
      <c r="D17" s="126">
        <v>1975.0</v>
      </c>
      <c r="E17" s="125">
        <v>26.0</v>
      </c>
      <c r="F17" s="127"/>
      <c r="G17" s="125"/>
      <c r="H17" s="125"/>
      <c r="I17" s="128"/>
      <c r="J17" s="128"/>
      <c r="K17" s="128"/>
      <c r="L17" s="126">
        <v>24369.0</v>
      </c>
      <c r="M17" s="126">
        <v>69396.0</v>
      </c>
      <c r="N17" s="126">
        <v>153.0</v>
      </c>
      <c r="O17" s="128">
        <v>295.0</v>
      </c>
      <c r="P17" s="126">
        <v>5813.0</v>
      </c>
      <c r="Q17" s="128">
        <v>8.0</v>
      </c>
      <c r="R17" s="129">
        <v>2.0</v>
      </c>
      <c r="S17" s="128">
        <v>0.0</v>
      </c>
      <c r="T17" s="130">
        <f t="shared" si="5"/>
        <v>2045</v>
      </c>
      <c r="U17" s="130">
        <f t="shared" si="6"/>
        <v>0</v>
      </c>
      <c r="V17" s="130">
        <f t="shared" si="7"/>
        <v>93765</v>
      </c>
      <c r="W17" s="130">
        <f t="shared" si="8"/>
        <v>6271</v>
      </c>
      <c r="X17" s="116">
        <f t="shared" si="9"/>
        <v>0.02337303129</v>
      </c>
      <c r="Y17" s="116">
        <f t="shared" si="10"/>
        <v>0.9766269687</v>
      </c>
      <c r="Z17" s="114">
        <f t="shared" si="15"/>
        <v>2045</v>
      </c>
      <c r="AA17" s="114">
        <f t="shared" si="16"/>
        <v>87494</v>
      </c>
      <c r="AB17" s="115">
        <f t="shared" si="17"/>
        <v>0.02337303129</v>
      </c>
      <c r="AC17" s="115">
        <f t="shared" si="18"/>
        <v>0.9766269687</v>
      </c>
      <c r="AD17" s="116"/>
      <c r="AE17" s="116"/>
      <c r="AF17" s="117"/>
      <c r="AG17" s="118" t="s">
        <v>55</v>
      </c>
      <c r="AH17" s="119">
        <v>0.0</v>
      </c>
      <c r="AI17" s="119">
        <v>1.0</v>
      </c>
      <c r="AJ17" s="119">
        <v>15512.0</v>
      </c>
      <c r="AK17" s="120">
        <v>114.0</v>
      </c>
      <c r="AL17" s="119">
        <v>294.0</v>
      </c>
      <c r="AM17" s="119">
        <v>224.0</v>
      </c>
      <c r="AN17" s="119">
        <v>0.0</v>
      </c>
      <c r="AO17" s="121">
        <v>141751.0</v>
      </c>
      <c r="AP17" s="131">
        <v>22627.0</v>
      </c>
      <c r="AQ17" s="119">
        <v>4389.0</v>
      </c>
      <c r="AR17" s="119">
        <v>1343.0</v>
      </c>
      <c r="AS17" s="119">
        <v>62571.0</v>
      </c>
      <c r="AT17" s="119">
        <v>695.0</v>
      </c>
      <c r="AU17" s="119">
        <v>916.0</v>
      </c>
      <c r="AV17" s="119">
        <v>695.0</v>
      </c>
      <c r="AW17" s="120">
        <v>1.0</v>
      </c>
      <c r="AX17" s="120">
        <v>1659.0</v>
      </c>
      <c r="AY17" s="120">
        <v>136203.0</v>
      </c>
      <c r="AZ17" s="123">
        <v>0.01218034845047466</v>
      </c>
      <c r="BA17" s="123">
        <v>0.9878196515495253</v>
      </c>
      <c r="BB17" s="116"/>
      <c r="BC17" s="116"/>
      <c r="BD17" s="116"/>
      <c r="BE17" s="116"/>
      <c r="BF17" s="116"/>
      <c r="BG17" s="116"/>
      <c r="BH17" s="116"/>
      <c r="BI17" s="116"/>
    </row>
    <row r="18" ht="15.75" customHeight="1">
      <c r="A18" s="124"/>
      <c r="B18" s="38" t="s">
        <v>56</v>
      </c>
      <c r="C18" s="125">
        <v>0.0</v>
      </c>
      <c r="D18" s="126">
        <v>3610.0</v>
      </c>
      <c r="E18" s="125">
        <v>90.0</v>
      </c>
      <c r="F18" s="127"/>
      <c r="G18" s="125"/>
      <c r="H18" s="125"/>
      <c r="I18" s="128"/>
      <c r="J18" s="128"/>
      <c r="K18" s="128"/>
      <c r="L18" s="126">
        <v>42635.0</v>
      </c>
      <c r="M18" s="126">
        <v>177217.0</v>
      </c>
      <c r="N18" s="126">
        <v>1488.0</v>
      </c>
      <c r="O18" s="128">
        <v>1645.0</v>
      </c>
      <c r="P18" s="126">
        <v>25882.0</v>
      </c>
      <c r="Q18" s="128">
        <v>127.0</v>
      </c>
      <c r="R18" s="129">
        <v>9346.0</v>
      </c>
      <c r="S18" s="128">
        <v>391.0</v>
      </c>
      <c r="T18" s="130">
        <f t="shared" si="5"/>
        <v>3700</v>
      </c>
      <c r="U18" s="130">
        <f t="shared" si="6"/>
        <v>0</v>
      </c>
      <c r="V18" s="130">
        <f t="shared" si="7"/>
        <v>219852</v>
      </c>
      <c r="W18" s="130">
        <f t="shared" si="8"/>
        <v>38879</v>
      </c>
      <c r="X18" s="116">
        <f t="shared" si="9"/>
        <v>0.02044503876</v>
      </c>
      <c r="Y18" s="116">
        <f t="shared" si="10"/>
        <v>0.9795549612</v>
      </c>
      <c r="Z18" s="114">
        <f t="shared" si="15"/>
        <v>3700</v>
      </c>
      <c r="AA18" s="114">
        <f t="shared" si="16"/>
        <v>180973</v>
      </c>
      <c r="AB18" s="115">
        <f t="shared" si="17"/>
        <v>0.02044503876</v>
      </c>
      <c r="AC18" s="115">
        <f t="shared" si="18"/>
        <v>0.9795549612</v>
      </c>
      <c r="AD18" s="116"/>
      <c r="AE18" s="116"/>
      <c r="AF18" s="117"/>
      <c r="AG18" s="118" t="s">
        <v>56</v>
      </c>
      <c r="AH18" s="119">
        <v>3.0</v>
      </c>
      <c r="AI18" s="119">
        <v>0.0</v>
      </c>
      <c r="AJ18" s="119">
        <v>669.0</v>
      </c>
      <c r="AK18" s="120">
        <v>9.0</v>
      </c>
      <c r="AL18" s="119">
        <v>4.0</v>
      </c>
      <c r="AM18" s="119">
        <v>53.0</v>
      </c>
      <c r="AN18" s="119">
        <v>3.0</v>
      </c>
      <c r="AO18" s="121">
        <v>26178.0</v>
      </c>
      <c r="AP18" s="131">
        <v>23204.0</v>
      </c>
      <c r="AQ18" s="119">
        <v>11.0</v>
      </c>
      <c r="AR18" s="119">
        <v>54.0</v>
      </c>
      <c r="AS18" s="119">
        <v>640.0</v>
      </c>
      <c r="AT18" s="119">
        <v>6.0</v>
      </c>
      <c r="AU18" s="119">
        <v>31.0</v>
      </c>
      <c r="AV18" s="119">
        <v>6.0</v>
      </c>
      <c r="AW18" s="120">
        <v>0.0</v>
      </c>
      <c r="AX18" s="120">
        <v>2358.0</v>
      </c>
      <c r="AY18" s="120">
        <v>225979.0</v>
      </c>
      <c r="AZ18" s="123">
        <v>0.010434597905115077</v>
      </c>
      <c r="BA18" s="123">
        <v>0.989565402094885</v>
      </c>
      <c r="BB18" s="116"/>
      <c r="BC18" s="116"/>
      <c r="BD18" s="116"/>
      <c r="BE18" s="116"/>
      <c r="BF18" s="116"/>
      <c r="BG18" s="116"/>
      <c r="BH18" s="116"/>
      <c r="BI18" s="116"/>
    </row>
    <row r="19" ht="15.75" customHeight="1">
      <c r="A19" s="124"/>
      <c r="B19" s="38" t="s">
        <v>57</v>
      </c>
      <c r="C19" s="125">
        <v>0.0</v>
      </c>
      <c r="D19" s="126">
        <v>5755.0</v>
      </c>
      <c r="E19" s="125">
        <v>0.0</v>
      </c>
      <c r="F19" s="127"/>
      <c r="G19" s="125"/>
      <c r="H19" s="125"/>
      <c r="I19" s="128"/>
      <c r="J19" s="128"/>
      <c r="K19" s="128"/>
      <c r="L19" s="126">
        <v>122202.0</v>
      </c>
      <c r="M19" s="126">
        <v>470366.0</v>
      </c>
      <c r="N19" s="126">
        <v>6693.0</v>
      </c>
      <c r="O19" s="128">
        <v>9168.0</v>
      </c>
      <c r="P19" s="126">
        <v>2506.0</v>
      </c>
      <c r="Q19" s="128">
        <v>167.0</v>
      </c>
      <c r="R19" s="129">
        <v>4.0</v>
      </c>
      <c r="S19" s="128">
        <v>5.0</v>
      </c>
      <c r="T19" s="130">
        <f t="shared" si="5"/>
        <v>5755</v>
      </c>
      <c r="U19" s="130">
        <f t="shared" si="6"/>
        <v>0</v>
      </c>
      <c r="V19" s="130">
        <f t="shared" si="7"/>
        <v>592568</v>
      </c>
      <c r="W19" s="130">
        <f t="shared" si="8"/>
        <v>18543</v>
      </c>
      <c r="X19" s="116">
        <f t="shared" si="9"/>
        <v>0.01002569574</v>
      </c>
      <c r="Y19" s="116">
        <f t="shared" si="10"/>
        <v>0.9899743043</v>
      </c>
      <c r="Z19" s="114">
        <f t="shared" si="15"/>
        <v>5755</v>
      </c>
      <c r="AA19" s="114">
        <f t="shared" si="16"/>
        <v>574025</v>
      </c>
      <c r="AB19" s="115">
        <f t="shared" si="17"/>
        <v>0.01002569574</v>
      </c>
      <c r="AC19" s="115">
        <f t="shared" si="18"/>
        <v>0.9899743043</v>
      </c>
      <c r="AD19" s="116"/>
      <c r="AE19" s="116"/>
      <c r="AF19" s="117"/>
      <c r="AG19" s="118" t="s">
        <v>57</v>
      </c>
      <c r="AH19" s="119">
        <v>0.0</v>
      </c>
      <c r="AI19" s="119">
        <v>7.0</v>
      </c>
      <c r="AJ19" s="119">
        <v>2425.0</v>
      </c>
      <c r="AK19" s="120">
        <v>0.0</v>
      </c>
      <c r="AL19" s="119">
        <v>2.0</v>
      </c>
      <c r="AM19" s="119">
        <v>1.0</v>
      </c>
      <c r="AN19" s="119">
        <v>0.0</v>
      </c>
      <c r="AO19" s="121">
        <v>54496.0</v>
      </c>
      <c r="AP19" s="131">
        <v>27514.0</v>
      </c>
      <c r="AQ19" s="119">
        <v>8.0</v>
      </c>
      <c r="AR19" s="119">
        <v>239.0</v>
      </c>
      <c r="AS19" s="119">
        <v>267.0</v>
      </c>
      <c r="AT19" s="119">
        <v>3.0</v>
      </c>
      <c r="AU19" s="119">
        <v>37.0</v>
      </c>
      <c r="AV19" s="119">
        <v>3.0</v>
      </c>
      <c r="AW19" s="120">
        <v>7.0</v>
      </c>
      <c r="AX19" s="120">
        <v>5136.0</v>
      </c>
      <c r="AY19" s="120">
        <v>608626.0</v>
      </c>
      <c r="AZ19" s="123">
        <v>0.008438679911801337</v>
      </c>
      <c r="BA19" s="123">
        <v>0.9915613200881986</v>
      </c>
      <c r="BB19" s="116"/>
      <c r="BC19" s="116"/>
      <c r="BD19" s="116"/>
      <c r="BE19" s="116"/>
      <c r="BF19" s="116"/>
      <c r="BG19" s="116"/>
      <c r="BH19" s="116"/>
      <c r="BI19" s="116"/>
    </row>
    <row r="20" ht="15.75" customHeight="1">
      <c r="A20" s="132"/>
      <c r="B20" s="38" t="s">
        <v>58</v>
      </c>
      <c r="C20" s="125">
        <v>10819.0</v>
      </c>
      <c r="D20" s="126">
        <v>3094.0</v>
      </c>
      <c r="E20" s="125">
        <v>0.0</v>
      </c>
      <c r="F20" s="127"/>
      <c r="G20" s="125"/>
      <c r="H20" s="125"/>
      <c r="I20" s="128"/>
      <c r="J20" s="128"/>
      <c r="K20" s="128"/>
      <c r="L20" s="126">
        <v>362279.0</v>
      </c>
      <c r="M20" s="126">
        <v>184117.0</v>
      </c>
      <c r="N20" s="126">
        <v>15484.0</v>
      </c>
      <c r="O20" s="128">
        <v>19925.0</v>
      </c>
      <c r="P20" s="126">
        <v>18209.0</v>
      </c>
      <c r="Q20" s="128">
        <v>173.0</v>
      </c>
      <c r="R20" s="129">
        <v>136.0</v>
      </c>
      <c r="S20" s="128">
        <v>4841.0</v>
      </c>
      <c r="T20" s="130">
        <f t="shared" si="5"/>
        <v>13913</v>
      </c>
      <c r="U20" s="130">
        <f t="shared" si="6"/>
        <v>0</v>
      </c>
      <c r="V20" s="130">
        <f t="shared" si="7"/>
        <v>546396</v>
      </c>
      <c r="W20" s="130">
        <f t="shared" si="8"/>
        <v>58768</v>
      </c>
      <c r="X20" s="116">
        <f t="shared" si="9"/>
        <v>0.0285319957</v>
      </c>
      <c r="Y20" s="116">
        <f t="shared" si="10"/>
        <v>0.9714680043</v>
      </c>
      <c r="Z20" s="114">
        <f t="shared" si="15"/>
        <v>13913</v>
      </c>
      <c r="AA20" s="114">
        <f t="shared" si="16"/>
        <v>487628</v>
      </c>
      <c r="AB20" s="115">
        <f t="shared" si="17"/>
        <v>0.0285319957</v>
      </c>
      <c r="AC20" s="115">
        <f t="shared" si="18"/>
        <v>0.9714680043</v>
      </c>
      <c r="AD20" s="116"/>
      <c r="AE20" s="116"/>
      <c r="AF20" s="117"/>
      <c r="AG20" s="118" t="s">
        <v>58</v>
      </c>
      <c r="AH20" s="119">
        <v>0.0</v>
      </c>
      <c r="AI20" s="119">
        <v>982.0</v>
      </c>
      <c r="AJ20" s="119">
        <v>6525.0</v>
      </c>
      <c r="AK20" s="120">
        <v>197.0</v>
      </c>
      <c r="AL20" s="119">
        <v>1733.0</v>
      </c>
      <c r="AM20" s="119">
        <v>937.0</v>
      </c>
      <c r="AN20" s="119">
        <v>207.0</v>
      </c>
      <c r="AO20" s="121">
        <v>131694.0</v>
      </c>
      <c r="AP20" s="131">
        <v>27514.0</v>
      </c>
      <c r="AQ20" s="119">
        <v>1930.0</v>
      </c>
      <c r="AR20" s="119">
        <v>2.0</v>
      </c>
      <c r="AS20" s="119">
        <v>44.0</v>
      </c>
      <c r="AT20" s="119">
        <v>161.0</v>
      </c>
      <c r="AU20" s="119">
        <v>582.0</v>
      </c>
      <c r="AV20" s="119">
        <v>161.0</v>
      </c>
      <c r="AW20" s="120">
        <v>982.0</v>
      </c>
      <c r="AX20" s="120">
        <v>52872.0</v>
      </c>
      <c r="AY20" s="120">
        <v>512876.0</v>
      </c>
      <c r="AZ20" s="123">
        <v>0.10308924574361054</v>
      </c>
      <c r="BA20" s="123">
        <v>0.8969107542563894</v>
      </c>
      <c r="BB20" s="116"/>
      <c r="BC20" s="116"/>
      <c r="BD20" s="116"/>
      <c r="BE20" s="116"/>
      <c r="BF20" s="116"/>
      <c r="BG20" s="116"/>
      <c r="BH20" s="116"/>
      <c r="BI20" s="116"/>
    </row>
    <row r="21" ht="15.75" customHeight="1">
      <c r="A21" s="132"/>
      <c r="B21" s="38" t="s">
        <v>59</v>
      </c>
      <c r="C21" s="125">
        <v>3.0</v>
      </c>
      <c r="D21" s="126">
        <v>9635.0</v>
      </c>
      <c r="E21" s="125">
        <v>0.0</v>
      </c>
      <c r="F21" s="127"/>
      <c r="G21" s="125"/>
      <c r="H21" s="125"/>
      <c r="I21" s="128"/>
      <c r="J21" s="128"/>
      <c r="K21" s="128"/>
      <c r="L21" s="126">
        <v>46468.0</v>
      </c>
      <c r="M21" s="126">
        <v>20406.0</v>
      </c>
      <c r="N21" s="126">
        <v>826.0</v>
      </c>
      <c r="O21" s="128">
        <v>1647.0</v>
      </c>
      <c r="P21" s="126">
        <v>20222.0</v>
      </c>
      <c r="Q21" s="128">
        <v>162.0</v>
      </c>
      <c r="R21" s="129">
        <v>665.0</v>
      </c>
      <c r="S21" s="128">
        <v>33.0</v>
      </c>
      <c r="T21" s="130">
        <f t="shared" si="5"/>
        <v>9638</v>
      </c>
      <c r="U21" s="130">
        <f t="shared" si="6"/>
        <v>0</v>
      </c>
      <c r="V21" s="130">
        <f t="shared" si="7"/>
        <v>66874</v>
      </c>
      <c r="W21" s="130">
        <f t="shared" si="8"/>
        <v>23555</v>
      </c>
      <c r="X21" s="116">
        <f t="shared" si="9"/>
        <v>0.2224889771</v>
      </c>
      <c r="Y21" s="116">
        <f t="shared" si="10"/>
        <v>0.7775110229</v>
      </c>
      <c r="Z21" s="133"/>
      <c r="AA21" s="133"/>
      <c r="AB21" s="134"/>
      <c r="AC21" s="134"/>
      <c r="AD21" s="116"/>
      <c r="AE21" s="116"/>
      <c r="AF21" s="117"/>
      <c r="AG21" s="118" t="s">
        <v>59</v>
      </c>
      <c r="AH21" s="119">
        <v>0.0</v>
      </c>
      <c r="AI21" s="119">
        <v>59.0</v>
      </c>
      <c r="AJ21" s="119">
        <v>4654.0</v>
      </c>
      <c r="AK21" s="120">
        <v>26.0</v>
      </c>
      <c r="AL21" s="119">
        <v>3.0</v>
      </c>
      <c r="AM21" s="119">
        <v>24.0</v>
      </c>
      <c r="AN21" s="119">
        <v>2.0</v>
      </c>
      <c r="AO21" s="121">
        <v>48858.0</v>
      </c>
      <c r="AP21" s="131">
        <v>32935.0</v>
      </c>
      <c r="AQ21" s="119">
        <v>456.0</v>
      </c>
      <c r="AR21" s="119">
        <v>1186.0</v>
      </c>
      <c r="AS21" s="119">
        <v>2559.0</v>
      </c>
      <c r="AT21" s="119">
        <v>22.0</v>
      </c>
      <c r="AU21" s="119">
        <v>36.0</v>
      </c>
      <c r="AV21" s="119">
        <v>22.0</v>
      </c>
      <c r="AW21" s="120">
        <v>59.0</v>
      </c>
      <c r="AX21" s="135"/>
      <c r="AY21" s="135"/>
      <c r="AZ21" s="136"/>
      <c r="BA21" s="136"/>
      <c r="BB21" s="116"/>
      <c r="BC21" s="116"/>
      <c r="BD21" s="116"/>
      <c r="BE21" s="116"/>
      <c r="BF21" s="116"/>
      <c r="BG21" s="116"/>
      <c r="BH21" s="116"/>
      <c r="BI21" s="116"/>
    </row>
    <row r="22" ht="15.75" customHeight="1">
      <c r="A22" s="132"/>
      <c r="B22" s="38" t="s">
        <v>60</v>
      </c>
      <c r="C22" s="125">
        <v>4.0</v>
      </c>
      <c r="D22" s="126">
        <v>918.0</v>
      </c>
      <c r="E22" s="125">
        <v>4.0</v>
      </c>
      <c r="F22" s="127"/>
      <c r="G22" s="125"/>
      <c r="H22" s="125"/>
      <c r="I22" s="128"/>
      <c r="J22" s="128"/>
      <c r="K22" s="128"/>
      <c r="L22" s="126">
        <v>46785.0</v>
      </c>
      <c r="M22" s="126">
        <v>18270.0</v>
      </c>
      <c r="N22" s="126">
        <v>81.0</v>
      </c>
      <c r="O22" s="128">
        <v>587.0</v>
      </c>
      <c r="P22" s="126">
        <v>696.0</v>
      </c>
      <c r="Q22" s="128">
        <v>933.0</v>
      </c>
      <c r="R22" s="129">
        <v>7.0</v>
      </c>
      <c r="S22" s="128">
        <v>0.0</v>
      </c>
      <c r="T22" s="130">
        <f t="shared" si="5"/>
        <v>926</v>
      </c>
      <c r="U22" s="130">
        <f t="shared" si="6"/>
        <v>0</v>
      </c>
      <c r="V22" s="130">
        <f t="shared" si="7"/>
        <v>65055</v>
      </c>
      <c r="W22" s="130">
        <f t="shared" si="8"/>
        <v>2304</v>
      </c>
      <c r="X22" s="116">
        <f t="shared" si="9"/>
        <v>0.01475673694</v>
      </c>
      <c r="Y22" s="116">
        <f t="shared" si="10"/>
        <v>0.9852432631</v>
      </c>
      <c r="Z22" s="114">
        <f t="shared" ref="Z22:Z25" si="19">SUM(C22:K22)</f>
        <v>926</v>
      </c>
      <c r="AA22" s="114">
        <f t="shared" ref="AA22:AA25" si="20">((L22+M22)-(SUM(N22:S22)))</f>
        <v>62751</v>
      </c>
      <c r="AB22" s="115">
        <f t="shared" ref="AB22:AB25" si="21">Z22/AA22</f>
        <v>0.01475673694</v>
      </c>
      <c r="AC22" s="115">
        <f t="shared" ref="AC22:AC25" si="22">100%-AB22</f>
        <v>0.9852432631</v>
      </c>
      <c r="AD22" s="116"/>
      <c r="AE22" s="116"/>
      <c r="AF22" s="117"/>
      <c r="AG22" s="118" t="s">
        <v>60</v>
      </c>
      <c r="AH22" s="119">
        <v>0.0</v>
      </c>
      <c r="AI22" s="119">
        <v>715.0</v>
      </c>
      <c r="AJ22" s="119">
        <v>818.0</v>
      </c>
      <c r="AK22" s="120">
        <v>1.0</v>
      </c>
      <c r="AL22" s="119">
        <v>56.0</v>
      </c>
      <c r="AM22" s="119">
        <v>114.0</v>
      </c>
      <c r="AN22" s="119">
        <v>191.0</v>
      </c>
      <c r="AO22" s="121">
        <v>46258.0</v>
      </c>
      <c r="AP22" s="131">
        <v>37050.0</v>
      </c>
      <c r="AQ22" s="119">
        <v>297.0</v>
      </c>
      <c r="AR22" s="119">
        <v>960.0</v>
      </c>
      <c r="AS22" s="119">
        <v>1229.0</v>
      </c>
      <c r="AT22" s="119">
        <v>11.0</v>
      </c>
      <c r="AU22" s="119">
        <v>18.0</v>
      </c>
      <c r="AV22" s="119">
        <v>11.0</v>
      </c>
      <c r="AW22" s="120">
        <v>715.0</v>
      </c>
      <c r="AX22" s="120">
        <v>1688.0</v>
      </c>
      <c r="AY22" s="120">
        <v>79016.0</v>
      </c>
      <c r="AZ22" s="123">
        <v>0.02136276197225878</v>
      </c>
      <c r="BA22" s="123">
        <v>0.9786372380277413</v>
      </c>
      <c r="BB22" s="116"/>
      <c r="BC22" s="116"/>
      <c r="BD22" s="116"/>
      <c r="BE22" s="116"/>
      <c r="BF22" s="116"/>
      <c r="BG22" s="116"/>
      <c r="BH22" s="116"/>
      <c r="BI22" s="116"/>
    </row>
    <row r="23" ht="15.75" customHeight="1">
      <c r="A23" s="124"/>
      <c r="B23" s="38" t="s">
        <v>61</v>
      </c>
      <c r="C23" s="125">
        <v>0.0</v>
      </c>
      <c r="D23" s="126">
        <v>2950.0</v>
      </c>
      <c r="E23" s="125">
        <v>0.0</v>
      </c>
      <c r="F23" s="127"/>
      <c r="G23" s="125"/>
      <c r="H23" s="125"/>
      <c r="I23" s="128"/>
      <c r="J23" s="128"/>
      <c r="K23" s="128"/>
      <c r="L23" s="126">
        <v>12543.0</v>
      </c>
      <c r="M23" s="126">
        <v>10676.0</v>
      </c>
      <c r="N23" s="126">
        <v>0.0</v>
      </c>
      <c r="O23" s="128">
        <v>0.0</v>
      </c>
      <c r="P23" s="126">
        <v>3308.0</v>
      </c>
      <c r="Q23" s="128">
        <v>47.0</v>
      </c>
      <c r="R23" s="129">
        <v>14.0</v>
      </c>
      <c r="S23" s="128">
        <v>0.0</v>
      </c>
      <c r="T23" s="130">
        <f t="shared" si="5"/>
        <v>2950</v>
      </c>
      <c r="U23" s="130">
        <f t="shared" si="6"/>
        <v>0</v>
      </c>
      <c r="V23" s="130">
        <f t="shared" si="7"/>
        <v>23219</v>
      </c>
      <c r="W23" s="130">
        <f t="shared" si="8"/>
        <v>3369</v>
      </c>
      <c r="X23" s="116">
        <f t="shared" si="9"/>
        <v>0.1486146096</v>
      </c>
      <c r="Y23" s="116">
        <f t="shared" si="10"/>
        <v>0.8513853904</v>
      </c>
      <c r="Z23" s="114">
        <f t="shared" si="19"/>
        <v>2950</v>
      </c>
      <c r="AA23" s="114">
        <f t="shared" si="20"/>
        <v>19850</v>
      </c>
      <c r="AB23" s="115">
        <f t="shared" si="21"/>
        <v>0.1486146096</v>
      </c>
      <c r="AC23" s="115">
        <f t="shared" si="22"/>
        <v>0.8513853904</v>
      </c>
      <c r="AD23" s="116"/>
      <c r="AE23" s="116"/>
      <c r="AF23" s="117"/>
      <c r="AG23" s="140" t="s">
        <v>61</v>
      </c>
      <c r="AH23" s="141"/>
      <c r="AI23" s="142">
        <v>0.0</v>
      </c>
      <c r="AJ23" s="141"/>
      <c r="AK23" s="141"/>
      <c r="AL23" s="142">
        <v>0.0</v>
      </c>
      <c r="AM23" s="142">
        <v>0.0</v>
      </c>
      <c r="AN23" s="142">
        <v>0.0</v>
      </c>
      <c r="AO23" s="143">
        <v>0.0</v>
      </c>
      <c r="AP23" s="144">
        <v>5333.0</v>
      </c>
      <c r="AQ23" s="142">
        <v>0.0</v>
      </c>
      <c r="AR23" s="142">
        <v>0.0</v>
      </c>
      <c r="AS23" s="142">
        <v>0.0</v>
      </c>
      <c r="AT23" s="141"/>
      <c r="AU23" s="142">
        <v>0.0</v>
      </c>
      <c r="AV23" s="142">
        <v>0.0</v>
      </c>
      <c r="AW23" s="141"/>
      <c r="AX23" s="120">
        <v>439.0</v>
      </c>
      <c r="AY23" s="120">
        <v>24969.0</v>
      </c>
      <c r="AZ23" s="117">
        <v>0.017581801433777886</v>
      </c>
      <c r="BA23" s="123">
        <v>0.9824181985662221</v>
      </c>
      <c r="BB23" s="116"/>
      <c r="BC23" s="116"/>
      <c r="BD23" s="116"/>
      <c r="BE23" s="116"/>
      <c r="BF23" s="116"/>
      <c r="BG23" s="116"/>
      <c r="BH23" s="116"/>
      <c r="BI23" s="116"/>
    </row>
    <row r="24" ht="15.75" customHeight="1">
      <c r="A24" s="124"/>
      <c r="B24" s="38" t="s">
        <v>62</v>
      </c>
      <c r="C24" s="125">
        <v>932.0</v>
      </c>
      <c r="D24" s="126">
        <v>5480.0</v>
      </c>
      <c r="E24" s="125">
        <v>932.0</v>
      </c>
      <c r="F24" s="127"/>
      <c r="G24" s="125"/>
      <c r="H24" s="125"/>
      <c r="I24" s="128"/>
      <c r="J24" s="128"/>
      <c r="K24" s="128"/>
      <c r="L24" s="126">
        <v>84812.0</v>
      </c>
      <c r="M24" s="126">
        <v>205298.0</v>
      </c>
      <c r="N24" s="126">
        <v>1617.0</v>
      </c>
      <c r="O24" s="128">
        <v>850.0</v>
      </c>
      <c r="P24" s="126">
        <v>10356.0</v>
      </c>
      <c r="Q24" s="128">
        <v>1231.0</v>
      </c>
      <c r="R24" s="129">
        <v>850.0</v>
      </c>
      <c r="S24" s="128">
        <v>1231.0</v>
      </c>
      <c r="T24" s="130">
        <f t="shared" si="5"/>
        <v>7344</v>
      </c>
      <c r="U24" s="130">
        <f t="shared" si="6"/>
        <v>0</v>
      </c>
      <c r="V24" s="130">
        <f t="shared" si="7"/>
        <v>290110</v>
      </c>
      <c r="W24" s="130">
        <f t="shared" si="8"/>
        <v>16135</v>
      </c>
      <c r="X24" s="116">
        <f t="shared" si="9"/>
        <v>0.02680536545</v>
      </c>
      <c r="Y24" s="116">
        <f t="shared" si="10"/>
        <v>0.9731946345</v>
      </c>
      <c r="Z24" s="114">
        <f t="shared" si="19"/>
        <v>7344</v>
      </c>
      <c r="AA24" s="114">
        <f t="shared" si="20"/>
        <v>273975</v>
      </c>
      <c r="AB24" s="115">
        <f t="shared" si="21"/>
        <v>0.02680536545</v>
      </c>
      <c r="AC24" s="115">
        <f t="shared" si="22"/>
        <v>0.9731946345</v>
      </c>
      <c r="AD24" s="116"/>
      <c r="AE24" s="116"/>
      <c r="AF24" s="117"/>
      <c r="AG24" s="118" t="s">
        <v>62</v>
      </c>
      <c r="AH24" s="119">
        <v>338.0</v>
      </c>
      <c r="AI24" s="119">
        <v>7141.0</v>
      </c>
      <c r="AJ24" s="119">
        <v>5609.0</v>
      </c>
      <c r="AK24" s="120">
        <v>67.0</v>
      </c>
      <c r="AL24" s="119">
        <v>388.0</v>
      </c>
      <c r="AM24" s="119">
        <v>815.0</v>
      </c>
      <c r="AN24" s="119">
        <v>233.0</v>
      </c>
      <c r="AO24" s="121">
        <v>95562.0</v>
      </c>
      <c r="AP24" s="131">
        <v>134403.0</v>
      </c>
      <c r="AQ24" s="119">
        <v>1213.0</v>
      </c>
      <c r="AR24" s="119">
        <v>585.0</v>
      </c>
      <c r="AS24" s="119">
        <v>703.0</v>
      </c>
      <c r="AT24" s="119">
        <v>185.0</v>
      </c>
      <c r="AU24" s="119">
        <v>192.0</v>
      </c>
      <c r="AV24" s="119">
        <v>185.0</v>
      </c>
      <c r="AW24" s="120">
        <v>7141.0</v>
      </c>
      <c r="AX24" s="120">
        <v>15202.0</v>
      </c>
      <c r="AY24" s="120">
        <v>267767.0</v>
      </c>
      <c r="AZ24" s="123">
        <v>0.05677323942083976</v>
      </c>
      <c r="BA24" s="123">
        <v>0.9432267605791602</v>
      </c>
      <c r="BB24" s="116"/>
      <c r="BC24" s="116"/>
      <c r="BD24" s="116"/>
      <c r="BE24" s="116"/>
      <c r="BF24" s="116"/>
      <c r="BG24" s="116"/>
      <c r="BH24" s="116"/>
      <c r="BI24" s="116"/>
    </row>
    <row r="25" ht="15.75" customHeight="1">
      <c r="A25" s="124"/>
      <c r="B25" s="38" t="s">
        <v>63</v>
      </c>
      <c r="C25" s="125">
        <v>127.0</v>
      </c>
      <c r="D25" s="126">
        <v>2430.0</v>
      </c>
      <c r="E25" s="125">
        <v>2.0</v>
      </c>
      <c r="F25" s="127"/>
      <c r="G25" s="125"/>
      <c r="H25" s="125"/>
      <c r="I25" s="128"/>
      <c r="J25" s="128"/>
      <c r="K25" s="128"/>
      <c r="L25" s="126">
        <v>37692.0</v>
      </c>
      <c r="M25" s="126">
        <v>37230.0</v>
      </c>
      <c r="N25" s="126">
        <v>666.0</v>
      </c>
      <c r="O25" s="128">
        <v>971.0</v>
      </c>
      <c r="P25" s="126">
        <v>6199.0</v>
      </c>
      <c r="Q25" s="128">
        <v>97.0</v>
      </c>
      <c r="R25" s="129">
        <v>0.0</v>
      </c>
      <c r="S25" s="128">
        <v>0.0</v>
      </c>
      <c r="T25" s="130">
        <f t="shared" si="5"/>
        <v>2559</v>
      </c>
      <c r="U25" s="130">
        <f t="shared" si="6"/>
        <v>0</v>
      </c>
      <c r="V25" s="130">
        <f t="shared" si="7"/>
        <v>74922</v>
      </c>
      <c r="W25" s="130">
        <f t="shared" si="8"/>
        <v>7933</v>
      </c>
      <c r="X25" s="116">
        <f t="shared" si="9"/>
        <v>0.03820030154</v>
      </c>
      <c r="Y25" s="116">
        <f t="shared" si="10"/>
        <v>0.9617996985</v>
      </c>
      <c r="Z25" s="114">
        <f t="shared" si="19"/>
        <v>2559</v>
      </c>
      <c r="AA25" s="114">
        <f t="shared" si="20"/>
        <v>66989</v>
      </c>
      <c r="AB25" s="115">
        <f t="shared" si="21"/>
        <v>0.03820030154</v>
      </c>
      <c r="AC25" s="115">
        <f t="shared" si="22"/>
        <v>0.9617996985</v>
      </c>
      <c r="AD25" s="116"/>
      <c r="AE25" s="116"/>
      <c r="AF25" s="117"/>
      <c r="AG25" s="118" t="s">
        <v>63</v>
      </c>
      <c r="AH25" s="119">
        <v>29.0</v>
      </c>
      <c r="AI25" s="119">
        <v>1632.0</v>
      </c>
      <c r="AJ25" s="119">
        <v>1017.0</v>
      </c>
      <c r="AK25" s="120">
        <v>14.0</v>
      </c>
      <c r="AL25" s="119">
        <v>8.0</v>
      </c>
      <c r="AM25" s="119">
        <v>40.0</v>
      </c>
      <c r="AN25" s="119">
        <v>22.0</v>
      </c>
      <c r="AO25" s="121">
        <v>43677.0</v>
      </c>
      <c r="AP25" s="131">
        <v>32827.0</v>
      </c>
      <c r="AQ25" s="119">
        <v>675.0</v>
      </c>
      <c r="AR25" s="119">
        <v>0.0</v>
      </c>
      <c r="AS25" s="119">
        <v>368.0</v>
      </c>
      <c r="AT25" s="119">
        <v>34.0</v>
      </c>
      <c r="AU25" s="119">
        <v>1.0</v>
      </c>
      <c r="AV25" s="119">
        <v>34.0</v>
      </c>
      <c r="AW25" s="120">
        <v>1632.0</v>
      </c>
      <c r="AX25" s="120">
        <v>178.0</v>
      </c>
      <c r="AY25" s="120">
        <v>108766.0</v>
      </c>
      <c r="AZ25" s="123">
        <v>0.001636540830774323</v>
      </c>
      <c r="BA25" s="123">
        <v>0.9983634591692256</v>
      </c>
      <c r="BB25" s="116"/>
      <c r="BC25" s="116"/>
      <c r="BD25" s="116"/>
      <c r="BE25" s="116"/>
      <c r="BF25" s="116"/>
      <c r="BG25" s="116"/>
      <c r="BH25" s="116"/>
      <c r="BI25" s="116"/>
    </row>
    <row r="26" ht="15.75" customHeight="1">
      <c r="A26" s="124"/>
      <c r="B26" s="38" t="s">
        <v>64</v>
      </c>
      <c r="C26" s="125">
        <v>0.0</v>
      </c>
      <c r="D26" s="126">
        <v>5754.0</v>
      </c>
      <c r="E26" s="125">
        <v>0.0</v>
      </c>
      <c r="F26" s="127"/>
      <c r="G26" s="125"/>
      <c r="H26" s="125"/>
      <c r="I26" s="128"/>
      <c r="J26" s="128"/>
      <c r="K26" s="128"/>
      <c r="L26" s="126">
        <v>79484.0</v>
      </c>
      <c r="M26" s="126">
        <v>32943.0</v>
      </c>
      <c r="N26" s="126">
        <v>15.0</v>
      </c>
      <c r="O26" s="128">
        <v>349.0</v>
      </c>
      <c r="P26" s="126">
        <v>57399.0</v>
      </c>
      <c r="Q26" s="128">
        <v>254.0</v>
      </c>
      <c r="R26" s="129">
        <v>1.0</v>
      </c>
      <c r="S26" s="128">
        <v>8.0</v>
      </c>
      <c r="T26" s="130">
        <f t="shared" si="5"/>
        <v>5754</v>
      </c>
      <c r="U26" s="130">
        <f t="shared" si="6"/>
        <v>0</v>
      </c>
      <c r="V26" s="130">
        <f t="shared" si="7"/>
        <v>112427</v>
      </c>
      <c r="W26" s="130">
        <f t="shared" si="8"/>
        <v>58026</v>
      </c>
      <c r="X26" s="116">
        <f t="shared" si="9"/>
        <v>0.1057701145</v>
      </c>
      <c r="Y26" s="116">
        <f t="shared" si="10"/>
        <v>0.8942298855</v>
      </c>
      <c r="Z26" s="133"/>
      <c r="AA26" s="133"/>
      <c r="AB26" s="134"/>
      <c r="AC26" s="134"/>
      <c r="AD26" s="116"/>
      <c r="AE26" s="116"/>
      <c r="AF26" s="117"/>
      <c r="AG26" s="118" t="s">
        <v>64</v>
      </c>
      <c r="AH26" s="119">
        <v>21.0</v>
      </c>
      <c r="AI26" s="119">
        <v>36.0</v>
      </c>
      <c r="AJ26" s="119">
        <v>4703.0</v>
      </c>
      <c r="AK26" s="120">
        <v>27.0</v>
      </c>
      <c r="AL26" s="119">
        <v>8.0</v>
      </c>
      <c r="AM26" s="119">
        <v>4.0</v>
      </c>
      <c r="AN26" s="119">
        <v>9.0</v>
      </c>
      <c r="AO26" s="121">
        <v>77244.0</v>
      </c>
      <c r="AP26" s="131">
        <v>36369.0</v>
      </c>
      <c r="AQ26" s="119">
        <v>2.0</v>
      </c>
      <c r="AR26" s="119">
        <v>70.0</v>
      </c>
      <c r="AS26" s="119">
        <v>32699.0</v>
      </c>
      <c r="AT26" s="119">
        <v>12.0</v>
      </c>
      <c r="AU26" s="119">
        <v>173.0</v>
      </c>
      <c r="AV26" s="119">
        <v>12.0</v>
      </c>
      <c r="AW26" s="120">
        <v>36.0</v>
      </c>
      <c r="AX26" s="120">
        <v>9717.0</v>
      </c>
      <c r="AY26" s="120">
        <v>66757.0</v>
      </c>
      <c r="AZ26" s="123">
        <v>0.14555776922270325</v>
      </c>
      <c r="BA26" s="123">
        <v>0.8544422307772968</v>
      </c>
      <c r="BB26" s="116"/>
      <c r="BC26" s="116"/>
      <c r="BD26" s="116"/>
      <c r="BE26" s="116"/>
      <c r="BF26" s="116"/>
      <c r="BG26" s="116"/>
      <c r="BH26" s="116"/>
      <c r="BI26" s="116"/>
    </row>
    <row r="27" ht="15.75" customHeight="1">
      <c r="A27" s="124"/>
      <c r="B27" s="38" t="s">
        <v>65</v>
      </c>
      <c r="C27" s="125">
        <v>381.0</v>
      </c>
      <c r="D27" s="126">
        <v>5191.0</v>
      </c>
      <c r="E27" s="125">
        <v>0.0</v>
      </c>
      <c r="F27" s="127"/>
      <c r="G27" s="125"/>
      <c r="H27" s="125"/>
      <c r="I27" s="128"/>
      <c r="J27" s="128"/>
      <c r="K27" s="128"/>
      <c r="L27" s="126">
        <v>57976.0</v>
      </c>
      <c r="M27" s="126">
        <v>25775.0</v>
      </c>
      <c r="N27" s="126">
        <v>2036.0</v>
      </c>
      <c r="O27" s="128">
        <v>3341.0</v>
      </c>
      <c r="P27" s="126">
        <v>24757.0</v>
      </c>
      <c r="Q27" s="128">
        <v>376.0</v>
      </c>
      <c r="R27" s="129">
        <v>1.0</v>
      </c>
      <c r="S27" s="128">
        <v>145.0</v>
      </c>
      <c r="T27" s="130">
        <f t="shared" si="5"/>
        <v>5572</v>
      </c>
      <c r="U27" s="130">
        <f t="shared" si="6"/>
        <v>0</v>
      </c>
      <c r="V27" s="130">
        <f t="shared" si="7"/>
        <v>83751</v>
      </c>
      <c r="W27" s="130">
        <f t="shared" si="8"/>
        <v>30656</v>
      </c>
      <c r="X27" s="116">
        <f t="shared" si="9"/>
        <v>0.1049439684</v>
      </c>
      <c r="Y27" s="116">
        <f t="shared" si="10"/>
        <v>0.8950560316</v>
      </c>
      <c r="Z27" s="114">
        <f t="shared" ref="Z27:Z35" si="23">SUM(C27:K27)</f>
        <v>5572</v>
      </c>
      <c r="AA27" s="114">
        <f t="shared" ref="AA27:AA35" si="24">((L27+M27)-(SUM(N27:S27)))</f>
        <v>53095</v>
      </c>
      <c r="AB27" s="115">
        <f t="shared" ref="AB27:AB35" si="25">Z27/AA27</f>
        <v>0.1049439684</v>
      </c>
      <c r="AC27" s="115">
        <f t="shared" ref="AC27:AC35" si="26">100%-AB27</f>
        <v>0.8950560316</v>
      </c>
      <c r="AD27" s="116"/>
      <c r="AE27" s="116"/>
      <c r="AF27" s="117"/>
      <c r="AG27" s="118" t="s">
        <v>65</v>
      </c>
      <c r="AH27" s="119">
        <v>567.0</v>
      </c>
      <c r="AI27" s="119">
        <v>889.0</v>
      </c>
      <c r="AJ27" s="119">
        <v>4085.0</v>
      </c>
      <c r="AK27" s="120">
        <v>6.0</v>
      </c>
      <c r="AL27" s="119">
        <v>331.0</v>
      </c>
      <c r="AM27" s="119">
        <v>412.0</v>
      </c>
      <c r="AN27" s="119">
        <v>17.0</v>
      </c>
      <c r="AO27" s="121">
        <v>60891.0</v>
      </c>
      <c r="AP27" s="131">
        <v>17304.0</v>
      </c>
      <c r="AQ27" s="119">
        <v>1292.0</v>
      </c>
      <c r="AR27" s="119">
        <v>1449.0</v>
      </c>
      <c r="AS27" s="119">
        <v>18492.0</v>
      </c>
      <c r="AT27" s="119">
        <v>62.0</v>
      </c>
      <c r="AU27" s="119">
        <v>17.0</v>
      </c>
      <c r="AV27" s="119">
        <v>62.0</v>
      </c>
      <c r="AW27" s="120">
        <v>889.0</v>
      </c>
      <c r="AX27" s="120">
        <v>5973.0</v>
      </c>
      <c r="AY27" s="120">
        <v>47301.0</v>
      </c>
      <c r="AZ27" s="123">
        <v>0.12627640007610832</v>
      </c>
      <c r="BA27" s="123">
        <v>0.8737235999238917</v>
      </c>
      <c r="BB27" s="116"/>
      <c r="BC27" s="116"/>
      <c r="BD27" s="116"/>
      <c r="BE27" s="116"/>
      <c r="BF27" s="116"/>
      <c r="BG27" s="116"/>
      <c r="BH27" s="116"/>
      <c r="BI27" s="116"/>
    </row>
    <row r="28" ht="15.75" customHeight="1">
      <c r="A28" s="124"/>
      <c r="B28" s="38" t="s">
        <v>66</v>
      </c>
      <c r="C28" s="125">
        <v>62.0</v>
      </c>
      <c r="D28" s="126">
        <v>2816.0</v>
      </c>
      <c r="E28" s="125">
        <v>0.0</v>
      </c>
      <c r="F28" s="127"/>
      <c r="G28" s="125"/>
      <c r="H28" s="125"/>
      <c r="I28" s="128"/>
      <c r="J28" s="128"/>
      <c r="K28" s="128"/>
      <c r="L28" s="126">
        <v>49346.0</v>
      </c>
      <c r="M28" s="126">
        <v>17.0</v>
      </c>
      <c r="N28" s="126">
        <v>131.0</v>
      </c>
      <c r="O28" s="128">
        <v>491.0</v>
      </c>
      <c r="P28" s="126">
        <v>11620.0</v>
      </c>
      <c r="Q28" s="128">
        <v>0.0</v>
      </c>
      <c r="R28" s="129">
        <v>0.0</v>
      </c>
      <c r="S28" s="128">
        <v>0.0</v>
      </c>
      <c r="T28" s="130">
        <f t="shared" si="5"/>
        <v>2878</v>
      </c>
      <c r="U28" s="130">
        <f t="shared" si="6"/>
        <v>0</v>
      </c>
      <c r="V28" s="130">
        <f t="shared" si="7"/>
        <v>49363</v>
      </c>
      <c r="W28" s="130">
        <f t="shared" si="8"/>
        <v>12242</v>
      </c>
      <c r="X28" s="116">
        <f t="shared" si="9"/>
        <v>0.07753023895</v>
      </c>
      <c r="Y28" s="116">
        <f t="shared" si="10"/>
        <v>0.9224697611</v>
      </c>
      <c r="Z28" s="114">
        <f t="shared" si="23"/>
        <v>2878</v>
      </c>
      <c r="AA28" s="114">
        <f t="shared" si="24"/>
        <v>37121</v>
      </c>
      <c r="AB28" s="115">
        <f t="shared" si="25"/>
        <v>0.07753023895</v>
      </c>
      <c r="AC28" s="115">
        <f t="shared" si="26"/>
        <v>0.9224697611</v>
      </c>
      <c r="AD28" s="116"/>
      <c r="AE28" s="116"/>
      <c r="AF28" s="117"/>
      <c r="AG28" s="118" t="s">
        <v>66</v>
      </c>
      <c r="AH28" s="119">
        <v>85.0</v>
      </c>
      <c r="AI28" s="119">
        <v>231.0</v>
      </c>
      <c r="AJ28" s="119">
        <v>1566.0</v>
      </c>
      <c r="AK28" s="120">
        <v>0.0</v>
      </c>
      <c r="AL28" s="119">
        <v>3.0</v>
      </c>
      <c r="AM28" s="119">
        <v>12.0</v>
      </c>
      <c r="AN28" s="119">
        <v>11.0</v>
      </c>
      <c r="AO28" s="121">
        <v>52006.0</v>
      </c>
      <c r="AP28" s="131">
        <v>26176.0</v>
      </c>
      <c r="AQ28" s="119">
        <v>60.0</v>
      </c>
      <c r="AR28" s="119">
        <v>160.0</v>
      </c>
      <c r="AS28" s="119">
        <v>1140.0</v>
      </c>
      <c r="AT28" s="119">
        <v>5.0</v>
      </c>
      <c r="AU28" s="119">
        <v>9.0</v>
      </c>
      <c r="AV28" s="119">
        <v>5.0</v>
      </c>
      <c r="AW28" s="120">
        <v>231.0</v>
      </c>
      <c r="AX28" s="120">
        <v>1474.0</v>
      </c>
      <c r="AY28" s="120">
        <v>48777.0</v>
      </c>
      <c r="AZ28" s="123">
        <v>0.030219160669987904</v>
      </c>
      <c r="BA28" s="123">
        <v>0.9697808393300121</v>
      </c>
      <c r="BB28" s="116"/>
      <c r="BC28" s="116"/>
      <c r="BD28" s="116"/>
      <c r="BE28" s="116"/>
      <c r="BF28" s="116"/>
      <c r="BG28" s="116"/>
      <c r="BH28" s="116"/>
      <c r="BI28" s="116"/>
    </row>
    <row r="29" ht="15.75" customHeight="1">
      <c r="A29" s="124"/>
      <c r="B29" s="38" t="s">
        <v>67</v>
      </c>
      <c r="C29" s="125">
        <v>917.0</v>
      </c>
      <c r="D29" s="126">
        <v>2097.0</v>
      </c>
      <c r="E29" s="125">
        <v>4.0</v>
      </c>
      <c r="F29" s="127"/>
      <c r="G29" s="125"/>
      <c r="H29" s="125"/>
      <c r="I29" s="128"/>
      <c r="J29" s="128"/>
      <c r="K29" s="128"/>
      <c r="L29" s="126">
        <v>58009.0</v>
      </c>
      <c r="M29" s="126">
        <v>49741.0</v>
      </c>
      <c r="N29" s="126">
        <v>278.0</v>
      </c>
      <c r="O29" s="128">
        <v>163.0</v>
      </c>
      <c r="P29" s="126">
        <v>39143.0</v>
      </c>
      <c r="Q29" s="128">
        <v>199.0</v>
      </c>
      <c r="R29" s="129">
        <v>7.0</v>
      </c>
      <c r="S29" s="128">
        <v>122.0</v>
      </c>
      <c r="T29" s="130">
        <f t="shared" si="5"/>
        <v>3018</v>
      </c>
      <c r="U29" s="130">
        <f t="shared" si="6"/>
        <v>0</v>
      </c>
      <c r="V29" s="130">
        <f t="shared" si="7"/>
        <v>107750</v>
      </c>
      <c r="W29" s="130">
        <f t="shared" si="8"/>
        <v>39912</v>
      </c>
      <c r="X29" s="116">
        <f t="shared" si="9"/>
        <v>0.04448833987</v>
      </c>
      <c r="Y29" s="116">
        <f t="shared" si="10"/>
        <v>0.9555116601</v>
      </c>
      <c r="Z29" s="114">
        <f t="shared" si="23"/>
        <v>3018</v>
      </c>
      <c r="AA29" s="114">
        <f t="shared" si="24"/>
        <v>67838</v>
      </c>
      <c r="AB29" s="115">
        <f t="shared" si="25"/>
        <v>0.04448833987</v>
      </c>
      <c r="AC29" s="115">
        <f t="shared" si="26"/>
        <v>0.9555116601</v>
      </c>
      <c r="AD29" s="116"/>
      <c r="AE29" s="116"/>
      <c r="AF29" s="117"/>
      <c r="AG29" s="118" t="s">
        <v>67</v>
      </c>
      <c r="AH29" s="119">
        <v>194.0</v>
      </c>
      <c r="AI29" s="119">
        <v>447.0</v>
      </c>
      <c r="AJ29" s="119">
        <v>540.0</v>
      </c>
      <c r="AK29" s="120">
        <v>7.0</v>
      </c>
      <c r="AL29" s="119">
        <v>545.0</v>
      </c>
      <c r="AM29" s="119">
        <v>32.0</v>
      </c>
      <c r="AN29" s="119">
        <v>0.0</v>
      </c>
      <c r="AO29" s="121">
        <v>59282.0</v>
      </c>
      <c r="AP29" s="131">
        <v>37235.0</v>
      </c>
      <c r="AQ29" s="119">
        <v>178.0</v>
      </c>
      <c r="AR29" s="119">
        <v>1149.0</v>
      </c>
      <c r="AS29" s="119">
        <v>4139.0</v>
      </c>
      <c r="AT29" s="119">
        <v>54.0</v>
      </c>
      <c r="AU29" s="119">
        <v>0.0</v>
      </c>
      <c r="AV29" s="119">
        <v>54.0</v>
      </c>
      <c r="AW29" s="120">
        <v>447.0</v>
      </c>
      <c r="AX29" s="120">
        <v>2703.0</v>
      </c>
      <c r="AY29" s="120">
        <v>77085.0</v>
      </c>
      <c r="AZ29" s="123">
        <v>0.03506518777972368</v>
      </c>
      <c r="BA29" s="123">
        <v>0.9649348122202763</v>
      </c>
      <c r="BB29" s="116"/>
      <c r="BC29" s="116"/>
      <c r="BD29" s="116"/>
      <c r="BE29" s="116"/>
      <c r="BF29" s="116"/>
      <c r="BG29" s="116"/>
      <c r="BH29" s="116"/>
      <c r="BI29" s="116"/>
    </row>
    <row r="30" ht="15.75" customHeight="1">
      <c r="A30" s="124"/>
      <c r="B30" s="38" t="s">
        <v>68</v>
      </c>
      <c r="C30" s="125">
        <v>4.0</v>
      </c>
      <c r="D30" s="126">
        <v>2823.0</v>
      </c>
      <c r="E30" s="125">
        <v>24.0</v>
      </c>
      <c r="F30" s="127"/>
      <c r="G30" s="125"/>
      <c r="H30" s="125"/>
      <c r="I30" s="128"/>
      <c r="J30" s="128"/>
      <c r="K30" s="128"/>
      <c r="L30" s="126">
        <v>32141.0</v>
      </c>
      <c r="M30" s="126">
        <v>77815.0</v>
      </c>
      <c r="N30" s="126">
        <v>16.0</v>
      </c>
      <c r="O30" s="128">
        <v>444.0</v>
      </c>
      <c r="P30" s="126">
        <v>9447.0</v>
      </c>
      <c r="Q30" s="128">
        <v>128.0</v>
      </c>
      <c r="R30" s="129">
        <v>0.0</v>
      </c>
      <c r="S30" s="128">
        <v>0.0</v>
      </c>
      <c r="T30" s="130">
        <f t="shared" si="5"/>
        <v>2851</v>
      </c>
      <c r="U30" s="130">
        <f t="shared" si="6"/>
        <v>0</v>
      </c>
      <c r="V30" s="130">
        <f t="shared" si="7"/>
        <v>109956</v>
      </c>
      <c r="W30" s="130">
        <f t="shared" si="8"/>
        <v>10035</v>
      </c>
      <c r="X30" s="116">
        <f t="shared" si="9"/>
        <v>0.02853254071</v>
      </c>
      <c r="Y30" s="116">
        <f t="shared" si="10"/>
        <v>0.9714674593</v>
      </c>
      <c r="Z30" s="114">
        <f t="shared" si="23"/>
        <v>2851</v>
      </c>
      <c r="AA30" s="114">
        <f t="shared" si="24"/>
        <v>99921</v>
      </c>
      <c r="AB30" s="115">
        <f t="shared" si="25"/>
        <v>0.02853254071</v>
      </c>
      <c r="AC30" s="115">
        <f t="shared" si="26"/>
        <v>0.9714674593</v>
      </c>
      <c r="AD30" s="116"/>
      <c r="AE30" s="116"/>
      <c r="AF30" s="117"/>
      <c r="AG30" s="118" t="s">
        <v>68</v>
      </c>
      <c r="AH30" s="119">
        <v>1.0</v>
      </c>
      <c r="AI30" s="119">
        <v>0.0</v>
      </c>
      <c r="AJ30" s="119">
        <v>2866.0</v>
      </c>
      <c r="AK30" s="120">
        <v>40.0</v>
      </c>
      <c r="AL30" s="119">
        <v>63.0</v>
      </c>
      <c r="AM30" s="119">
        <v>39.0</v>
      </c>
      <c r="AN30" s="119">
        <v>1.0</v>
      </c>
      <c r="AO30" s="121">
        <v>29224.0</v>
      </c>
      <c r="AP30" s="131">
        <v>16057.0</v>
      </c>
      <c r="AQ30" s="119">
        <v>13.0</v>
      </c>
      <c r="AR30" s="119">
        <v>292.0</v>
      </c>
      <c r="AS30" s="119">
        <v>4600.0</v>
      </c>
      <c r="AT30" s="119">
        <v>99.0</v>
      </c>
      <c r="AU30" s="119">
        <v>0.0</v>
      </c>
      <c r="AV30" s="119">
        <v>99.0</v>
      </c>
      <c r="AW30" s="120">
        <v>0.0</v>
      </c>
      <c r="AX30" s="120">
        <v>5205.0</v>
      </c>
      <c r="AY30" s="120">
        <v>105582.0</v>
      </c>
      <c r="AZ30" s="123">
        <v>0.04929817582542479</v>
      </c>
      <c r="BA30" s="123">
        <v>0.9507018241745752</v>
      </c>
      <c r="BB30" s="116"/>
      <c r="BC30" s="116"/>
      <c r="BD30" s="116"/>
      <c r="BE30" s="116"/>
      <c r="BF30" s="116"/>
      <c r="BG30" s="116"/>
      <c r="BH30" s="116"/>
      <c r="BI30" s="116"/>
    </row>
    <row r="31" ht="15.75" customHeight="1">
      <c r="A31" s="132"/>
      <c r="B31" s="38" t="s">
        <v>69</v>
      </c>
      <c r="C31" s="125">
        <v>0.0</v>
      </c>
      <c r="D31" s="126">
        <v>2465.0</v>
      </c>
      <c r="E31" s="125" t="s">
        <v>204</v>
      </c>
      <c r="F31" s="139"/>
      <c r="G31" s="125"/>
      <c r="H31" s="125"/>
      <c r="I31" s="128"/>
      <c r="J31" s="128"/>
      <c r="K31" s="128"/>
      <c r="L31" s="126">
        <v>34554.0</v>
      </c>
      <c r="M31" s="126">
        <v>0.0</v>
      </c>
      <c r="N31" s="126">
        <v>0.0</v>
      </c>
      <c r="O31" s="128">
        <v>0.0</v>
      </c>
      <c r="P31" s="126">
        <v>1280.0</v>
      </c>
      <c r="Q31" s="128">
        <v>109.0</v>
      </c>
      <c r="R31" s="137" t="s">
        <v>204</v>
      </c>
      <c r="S31" s="128" t="s">
        <v>204</v>
      </c>
      <c r="T31" s="130" t="str">
        <f t="shared" si="5"/>
        <v>#VALUE!</v>
      </c>
      <c r="U31" s="130">
        <f t="shared" si="6"/>
        <v>0</v>
      </c>
      <c r="V31" s="130">
        <f t="shared" si="7"/>
        <v>34554</v>
      </c>
      <c r="W31" s="130" t="str">
        <f t="shared" si="8"/>
        <v>#VALUE!</v>
      </c>
      <c r="X31" s="116" t="str">
        <f t="shared" si="9"/>
        <v>#VALUE!</v>
      </c>
      <c r="Y31" s="116" t="str">
        <f t="shared" si="10"/>
        <v>#VALUE!</v>
      </c>
      <c r="Z31" s="114">
        <f t="shared" si="23"/>
        <v>2465</v>
      </c>
      <c r="AA31" s="114">
        <f t="shared" si="24"/>
        <v>33165</v>
      </c>
      <c r="AB31" s="115">
        <f t="shared" si="25"/>
        <v>0.07432534298</v>
      </c>
      <c r="AC31" s="115">
        <f t="shared" si="26"/>
        <v>0.925674657</v>
      </c>
      <c r="AD31" s="116"/>
      <c r="AE31" s="116"/>
      <c r="AF31" s="117"/>
      <c r="AG31" s="118" t="s">
        <v>69</v>
      </c>
      <c r="AH31" s="119">
        <v>0.0</v>
      </c>
      <c r="AI31" s="119">
        <v>0.0</v>
      </c>
      <c r="AJ31" s="119">
        <v>3889.0</v>
      </c>
      <c r="AK31" s="120">
        <v>317.0</v>
      </c>
      <c r="AL31" s="119">
        <v>31.0</v>
      </c>
      <c r="AM31" s="119">
        <v>1037.0</v>
      </c>
      <c r="AN31" s="119">
        <v>18.0</v>
      </c>
      <c r="AO31" s="121">
        <v>37098.0</v>
      </c>
      <c r="AP31" s="131">
        <v>23866.0</v>
      </c>
      <c r="AQ31" s="119">
        <v>0.0</v>
      </c>
      <c r="AR31" s="119">
        <v>39.0</v>
      </c>
      <c r="AS31" s="119">
        <v>522.0</v>
      </c>
      <c r="AT31" s="119">
        <v>59.0</v>
      </c>
      <c r="AU31" s="119">
        <v>243.0</v>
      </c>
      <c r="AV31" s="119">
        <v>59.0</v>
      </c>
      <c r="AW31" s="120">
        <v>0.0</v>
      </c>
      <c r="AX31" s="120">
        <v>2144.0</v>
      </c>
      <c r="AY31" s="120">
        <v>34252.0</v>
      </c>
      <c r="AZ31" s="123">
        <v>0.06259488497022071</v>
      </c>
      <c r="BA31" s="123">
        <v>0.9374051150297793</v>
      </c>
      <c r="BB31" s="116"/>
      <c r="BC31" s="116"/>
      <c r="BD31" s="116"/>
      <c r="BE31" s="116"/>
      <c r="BF31" s="116"/>
      <c r="BG31" s="116"/>
      <c r="BH31" s="116"/>
      <c r="BI31" s="116"/>
    </row>
    <row r="32" ht="15.75" customHeight="1">
      <c r="A32" s="132"/>
      <c r="B32" s="38" t="s">
        <v>70</v>
      </c>
      <c r="C32" s="125">
        <v>0.0</v>
      </c>
      <c r="D32" s="126">
        <v>2645.0</v>
      </c>
      <c r="E32" s="125">
        <v>0.0</v>
      </c>
      <c r="F32" s="127"/>
      <c r="G32" s="125"/>
      <c r="H32" s="125"/>
      <c r="I32" s="128"/>
      <c r="J32" s="128"/>
      <c r="K32" s="128"/>
      <c r="L32" s="126">
        <v>40521.0</v>
      </c>
      <c r="M32" s="126">
        <v>0.0</v>
      </c>
      <c r="N32" s="126">
        <v>2618.0</v>
      </c>
      <c r="O32" s="128">
        <v>136.0</v>
      </c>
      <c r="P32" s="126">
        <v>162.0</v>
      </c>
      <c r="Q32" s="128">
        <v>9.0</v>
      </c>
      <c r="R32" s="129">
        <v>0.0</v>
      </c>
      <c r="S32" s="128">
        <v>9.0</v>
      </c>
      <c r="T32" s="130">
        <f t="shared" si="5"/>
        <v>2645</v>
      </c>
      <c r="U32" s="130">
        <f t="shared" si="6"/>
        <v>0</v>
      </c>
      <c r="V32" s="130">
        <f t="shared" si="7"/>
        <v>40521</v>
      </c>
      <c r="W32" s="130">
        <f t="shared" si="8"/>
        <v>2934</v>
      </c>
      <c r="X32" s="116">
        <f t="shared" si="9"/>
        <v>0.07037007476</v>
      </c>
      <c r="Y32" s="116">
        <f t="shared" si="10"/>
        <v>0.9296299252</v>
      </c>
      <c r="Z32" s="114">
        <f t="shared" si="23"/>
        <v>2645</v>
      </c>
      <c r="AA32" s="114">
        <f t="shared" si="24"/>
        <v>37587</v>
      </c>
      <c r="AB32" s="115">
        <f t="shared" si="25"/>
        <v>0.07037007476</v>
      </c>
      <c r="AC32" s="115">
        <f t="shared" si="26"/>
        <v>0.9296299252</v>
      </c>
      <c r="AD32" s="116"/>
      <c r="AE32" s="116"/>
      <c r="AF32" s="117"/>
      <c r="AG32" s="118" t="s">
        <v>70</v>
      </c>
      <c r="AH32" s="119">
        <v>0.0</v>
      </c>
      <c r="AI32" s="119">
        <v>6.0</v>
      </c>
      <c r="AJ32" s="119">
        <v>1392.0</v>
      </c>
      <c r="AK32" s="120">
        <v>13.0</v>
      </c>
      <c r="AL32" s="119">
        <v>268.0</v>
      </c>
      <c r="AM32" s="119">
        <v>117.0</v>
      </c>
      <c r="AN32" s="119">
        <v>38.0</v>
      </c>
      <c r="AO32" s="121">
        <v>40789.0</v>
      </c>
      <c r="AP32" s="131">
        <v>26221.0</v>
      </c>
      <c r="AQ32" s="119">
        <v>2645.0</v>
      </c>
      <c r="AR32" s="119">
        <v>201.0</v>
      </c>
      <c r="AS32" s="119">
        <v>173.0</v>
      </c>
      <c r="AT32" s="119">
        <v>3.0</v>
      </c>
      <c r="AU32" s="119">
        <v>4.0</v>
      </c>
      <c r="AV32" s="119">
        <v>3.0</v>
      </c>
      <c r="AW32" s="120">
        <v>6.0</v>
      </c>
      <c r="AX32" s="120">
        <v>6745.0</v>
      </c>
      <c r="AY32" s="120">
        <v>118952.0</v>
      </c>
      <c r="AZ32" s="123">
        <v>0.056703544286771136</v>
      </c>
      <c r="BA32" s="123">
        <v>0.9432964557132288</v>
      </c>
      <c r="BB32" s="116"/>
      <c r="BC32" s="116"/>
      <c r="BD32" s="116"/>
      <c r="BE32" s="116"/>
      <c r="BF32" s="116"/>
      <c r="BG32" s="116"/>
      <c r="BH32" s="116"/>
      <c r="BI32" s="116"/>
    </row>
    <row r="33" ht="15.75" customHeight="1">
      <c r="A33" s="124"/>
      <c r="B33" s="38" t="s">
        <v>71</v>
      </c>
      <c r="C33" s="125">
        <v>0.0</v>
      </c>
      <c r="D33" s="126">
        <v>2631.0</v>
      </c>
      <c r="E33" s="125" t="s">
        <v>204</v>
      </c>
      <c r="F33" s="127"/>
      <c r="G33" s="125"/>
      <c r="H33" s="125"/>
      <c r="I33" s="128"/>
      <c r="J33" s="128"/>
      <c r="K33" s="128"/>
      <c r="L33" s="126">
        <v>39666.0</v>
      </c>
      <c r="M33" s="126">
        <v>37679.0</v>
      </c>
      <c r="N33" s="126">
        <v>430.0</v>
      </c>
      <c r="O33" s="128">
        <v>1446.0</v>
      </c>
      <c r="P33" s="126">
        <v>2488.0</v>
      </c>
      <c r="Q33" s="128">
        <v>100.0</v>
      </c>
      <c r="R33" s="137" t="s">
        <v>204</v>
      </c>
      <c r="S33" s="128" t="s">
        <v>204</v>
      </c>
      <c r="T33" s="130" t="str">
        <f t="shared" si="5"/>
        <v>#VALUE!</v>
      </c>
      <c r="U33" s="130">
        <f t="shared" si="6"/>
        <v>0</v>
      </c>
      <c r="V33" s="130">
        <f t="shared" si="7"/>
        <v>77345</v>
      </c>
      <c r="W33" s="130" t="str">
        <f t="shared" si="8"/>
        <v>#VALUE!</v>
      </c>
      <c r="X33" s="116" t="str">
        <f t="shared" si="9"/>
        <v>#VALUE!</v>
      </c>
      <c r="Y33" s="116" t="str">
        <f t="shared" si="10"/>
        <v>#VALUE!</v>
      </c>
      <c r="Z33" s="114">
        <f t="shared" si="23"/>
        <v>2631</v>
      </c>
      <c r="AA33" s="114">
        <f t="shared" si="24"/>
        <v>72881</v>
      </c>
      <c r="AB33" s="115">
        <f t="shared" si="25"/>
        <v>0.03609994374</v>
      </c>
      <c r="AC33" s="115">
        <f t="shared" si="26"/>
        <v>0.9639000563</v>
      </c>
      <c r="AD33" s="116"/>
      <c r="AE33" s="116"/>
      <c r="AF33" s="117"/>
      <c r="AG33" s="118" t="s">
        <v>71</v>
      </c>
      <c r="AH33" s="119">
        <v>0.0</v>
      </c>
      <c r="AI33" s="119">
        <v>0.0</v>
      </c>
      <c r="AJ33" s="119">
        <v>1080.0</v>
      </c>
      <c r="AK33" s="120">
        <v>0.0</v>
      </c>
      <c r="AL33" s="119">
        <v>0.0</v>
      </c>
      <c r="AM33" s="119">
        <v>186.0</v>
      </c>
      <c r="AN33" s="119">
        <v>314.0</v>
      </c>
      <c r="AO33" s="121">
        <v>41629.0</v>
      </c>
      <c r="AP33" s="131">
        <v>29470.0</v>
      </c>
      <c r="AQ33" s="119">
        <v>71.0</v>
      </c>
      <c r="AR33" s="119">
        <v>752.0</v>
      </c>
      <c r="AS33" s="119">
        <v>280.0</v>
      </c>
      <c r="AT33" s="119">
        <v>0.0</v>
      </c>
      <c r="AU33" s="119">
        <v>0.0</v>
      </c>
      <c r="AV33" s="119">
        <v>0.0</v>
      </c>
      <c r="AW33" s="120">
        <v>0.0</v>
      </c>
      <c r="AX33" s="120">
        <v>6070.0</v>
      </c>
      <c r="AY33" s="120">
        <v>67671.0</v>
      </c>
      <c r="AZ33" s="123">
        <v>0.08969868924650146</v>
      </c>
      <c r="BA33" s="123">
        <v>0.9103013107534985</v>
      </c>
      <c r="BB33" s="116"/>
      <c r="BC33" s="116"/>
      <c r="BD33" s="116"/>
      <c r="BE33" s="116"/>
      <c r="BF33" s="116"/>
      <c r="BG33" s="116"/>
      <c r="BH33" s="116"/>
      <c r="BI33" s="116"/>
    </row>
    <row r="34" ht="15.75" customHeight="1">
      <c r="A34" s="132"/>
      <c r="B34" s="38" t="s">
        <v>72</v>
      </c>
      <c r="C34" s="125">
        <v>0.0</v>
      </c>
      <c r="D34" s="126">
        <v>669.0</v>
      </c>
      <c r="E34" s="125">
        <v>0.0</v>
      </c>
      <c r="F34" s="127"/>
      <c r="G34" s="125"/>
      <c r="H34" s="125"/>
      <c r="I34" s="128"/>
      <c r="J34" s="128"/>
      <c r="K34" s="128"/>
      <c r="L34" s="126">
        <v>3416.0</v>
      </c>
      <c r="M34" s="126">
        <v>2883.0</v>
      </c>
      <c r="N34" s="126">
        <v>0.0</v>
      </c>
      <c r="O34" s="128">
        <v>63.0</v>
      </c>
      <c r="P34" s="126">
        <v>0.0</v>
      </c>
      <c r="Q34" s="128">
        <v>3.0</v>
      </c>
      <c r="R34" s="129">
        <v>0.0</v>
      </c>
      <c r="S34" s="128">
        <v>0.0</v>
      </c>
      <c r="T34" s="130">
        <f t="shared" si="5"/>
        <v>669</v>
      </c>
      <c r="U34" s="130">
        <f t="shared" si="6"/>
        <v>0</v>
      </c>
      <c r="V34" s="130">
        <f t="shared" si="7"/>
        <v>6299</v>
      </c>
      <c r="W34" s="130">
        <f t="shared" si="8"/>
        <v>66</v>
      </c>
      <c r="X34" s="116">
        <f t="shared" si="9"/>
        <v>0.1073319429</v>
      </c>
      <c r="Y34" s="116">
        <f t="shared" si="10"/>
        <v>0.8926680571</v>
      </c>
      <c r="Z34" s="114">
        <f t="shared" si="23"/>
        <v>669</v>
      </c>
      <c r="AA34" s="114">
        <f t="shared" si="24"/>
        <v>6233</v>
      </c>
      <c r="AB34" s="115">
        <f t="shared" si="25"/>
        <v>0.1073319429</v>
      </c>
      <c r="AC34" s="115">
        <f t="shared" si="26"/>
        <v>0.8926680571</v>
      </c>
      <c r="AD34" s="116"/>
      <c r="AE34" s="116"/>
      <c r="AF34" s="117"/>
      <c r="AG34" s="118" t="s">
        <v>72</v>
      </c>
      <c r="AH34" s="119">
        <v>0.0</v>
      </c>
      <c r="AI34" s="119">
        <v>0.0</v>
      </c>
      <c r="AJ34" s="119">
        <v>6.0</v>
      </c>
      <c r="AK34" s="120">
        <v>0.0</v>
      </c>
      <c r="AL34" s="119">
        <v>15.0</v>
      </c>
      <c r="AM34" s="119">
        <v>8.0</v>
      </c>
      <c r="AN34" s="119">
        <v>3.0</v>
      </c>
      <c r="AO34" s="121">
        <v>3882.0</v>
      </c>
      <c r="AP34" s="131">
        <v>3706.0</v>
      </c>
      <c r="AQ34" s="119">
        <v>7.0</v>
      </c>
      <c r="AR34" s="119">
        <v>72.0</v>
      </c>
      <c r="AS34" s="119">
        <v>0.0</v>
      </c>
      <c r="AT34" s="119">
        <v>23.0</v>
      </c>
      <c r="AU34" s="119">
        <v>16.0</v>
      </c>
      <c r="AV34" s="119">
        <v>23.0</v>
      </c>
      <c r="AW34" s="120">
        <v>0.0</v>
      </c>
      <c r="AX34" s="120">
        <v>59.0</v>
      </c>
      <c r="AY34" s="120">
        <v>8028.0</v>
      </c>
      <c r="AZ34" s="123">
        <v>0.007349277528649726</v>
      </c>
      <c r="BA34" s="123">
        <v>0.9926507224713502</v>
      </c>
      <c r="BB34" s="116"/>
      <c r="BC34" s="116"/>
      <c r="BD34" s="116"/>
      <c r="BE34" s="116"/>
      <c r="BF34" s="116"/>
      <c r="BG34" s="116"/>
      <c r="BH34" s="116"/>
      <c r="BI34" s="116"/>
    </row>
    <row r="35" ht="15.75" customHeight="1">
      <c r="A35" s="124"/>
      <c r="B35" s="38" t="s">
        <v>73</v>
      </c>
      <c r="C35" s="125">
        <v>0.0</v>
      </c>
      <c r="D35" s="126">
        <v>9625.0</v>
      </c>
      <c r="E35" s="125">
        <v>145.0</v>
      </c>
      <c r="F35" s="127"/>
      <c r="G35" s="125"/>
      <c r="H35" s="125"/>
      <c r="I35" s="128"/>
      <c r="J35" s="128"/>
      <c r="K35" s="128"/>
      <c r="L35" s="126">
        <v>80364.0</v>
      </c>
      <c r="M35" s="126">
        <v>7366.0</v>
      </c>
      <c r="N35" s="126">
        <v>33.0</v>
      </c>
      <c r="O35" s="128">
        <v>3859.0</v>
      </c>
      <c r="P35" s="126">
        <v>5051.0</v>
      </c>
      <c r="Q35" s="128">
        <v>147.0</v>
      </c>
      <c r="R35" s="129">
        <v>26.0</v>
      </c>
      <c r="S35" s="128">
        <v>27.0</v>
      </c>
      <c r="T35" s="130">
        <f t="shared" si="5"/>
        <v>9770</v>
      </c>
      <c r="U35" s="130">
        <f t="shared" si="6"/>
        <v>0</v>
      </c>
      <c r="V35" s="130">
        <f t="shared" si="7"/>
        <v>87730</v>
      </c>
      <c r="W35" s="130">
        <f t="shared" si="8"/>
        <v>9143</v>
      </c>
      <c r="X35" s="116">
        <f t="shared" si="9"/>
        <v>0.1243208164</v>
      </c>
      <c r="Y35" s="116">
        <f t="shared" si="10"/>
        <v>0.8756791836</v>
      </c>
      <c r="Z35" s="114">
        <f t="shared" si="23"/>
        <v>9770</v>
      </c>
      <c r="AA35" s="114">
        <f t="shared" si="24"/>
        <v>78587</v>
      </c>
      <c r="AB35" s="115">
        <f t="shared" si="25"/>
        <v>0.1243208164</v>
      </c>
      <c r="AC35" s="115">
        <f t="shared" si="26"/>
        <v>0.8756791836</v>
      </c>
      <c r="AD35" s="116"/>
      <c r="AE35" s="116"/>
      <c r="AF35" s="117"/>
      <c r="AG35" s="118" t="s">
        <v>73</v>
      </c>
      <c r="AH35" s="119">
        <v>51.0</v>
      </c>
      <c r="AI35" s="119">
        <v>514.0</v>
      </c>
      <c r="AJ35" s="119">
        <v>5789.0</v>
      </c>
      <c r="AK35" s="120">
        <v>304.0</v>
      </c>
      <c r="AL35" s="119">
        <v>48.0</v>
      </c>
      <c r="AM35" s="119">
        <v>49.0</v>
      </c>
      <c r="AN35" s="119">
        <v>95.0</v>
      </c>
      <c r="AO35" s="121">
        <v>83575.0</v>
      </c>
      <c r="AP35" s="131">
        <v>25752.0</v>
      </c>
      <c r="AQ35" s="119">
        <v>101.0</v>
      </c>
      <c r="AR35" s="119">
        <v>7807.0</v>
      </c>
      <c r="AS35" s="119">
        <v>6126.0</v>
      </c>
      <c r="AT35" s="119">
        <v>102.0</v>
      </c>
      <c r="AU35" s="119">
        <v>292.0</v>
      </c>
      <c r="AV35" s="119">
        <v>102.0</v>
      </c>
      <c r="AW35" s="120">
        <v>514.0</v>
      </c>
      <c r="AX35" s="120">
        <v>2012.0</v>
      </c>
      <c r="AY35" s="120">
        <v>103148.0</v>
      </c>
      <c r="AZ35" s="123">
        <v>0.01950595261178113</v>
      </c>
      <c r="BA35" s="123">
        <v>0.9804940473882189</v>
      </c>
      <c r="BB35" s="116"/>
      <c r="BC35" s="116"/>
      <c r="BD35" s="116"/>
      <c r="BE35" s="116"/>
      <c r="BF35" s="116"/>
      <c r="BG35" s="116"/>
      <c r="BH35" s="116"/>
      <c r="BI35" s="116"/>
    </row>
    <row r="36" ht="15.75" customHeight="1">
      <c r="A36" s="145"/>
      <c r="B36" s="38" t="s">
        <v>74</v>
      </c>
      <c r="C36" s="125">
        <v>26.0</v>
      </c>
      <c r="D36" s="126">
        <v>3483.0</v>
      </c>
      <c r="E36" s="125">
        <v>27.0</v>
      </c>
      <c r="F36" s="127"/>
      <c r="G36" s="125"/>
      <c r="H36" s="125"/>
      <c r="I36" s="128"/>
      <c r="J36" s="128"/>
      <c r="K36" s="128"/>
      <c r="L36" s="126">
        <v>4147.0</v>
      </c>
      <c r="M36" s="126">
        <v>2608.0</v>
      </c>
      <c r="N36" s="126">
        <v>125.0</v>
      </c>
      <c r="O36" s="128">
        <v>341.0</v>
      </c>
      <c r="P36" s="126">
        <v>939.0</v>
      </c>
      <c r="Q36" s="128">
        <v>12.0</v>
      </c>
      <c r="R36" s="129">
        <v>1.0</v>
      </c>
      <c r="S36" s="128">
        <v>0.0</v>
      </c>
      <c r="T36" s="130">
        <f t="shared" si="5"/>
        <v>3536</v>
      </c>
      <c r="U36" s="130">
        <f t="shared" si="6"/>
        <v>0</v>
      </c>
      <c r="V36" s="130">
        <f t="shared" si="7"/>
        <v>6755</v>
      </c>
      <c r="W36" s="130">
        <f t="shared" si="8"/>
        <v>1418</v>
      </c>
      <c r="X36" s="116">
        <f t="shared" si="9"/>
        <v>0.6625445007</v>
      </c>
      <c r="Y36" s="116">
        <f t="shared" si="10"/>
        <v>0.3374554993</v>
      </c>
      <c r="Z36" s="133"/>
      <c r="AA36" s="133"/>
      <c r="AB36" s="134"/>
      <c r="AC36" s="134"/>
      <c r="AD36" s="116"/>
      <c r="AE36" s="116"/>
      <c r="AF36" s="117"/>
      <c r="AG36" s="118" t="s">
        <v>74</v>
      </c>
      <c r="AH36" s="119">
        <v>1.0</v>
      </c>
      <c r="AI36" s="119">
        <v>15.0</v>
      </c>
      <c r="AJ36" s="119">
        <v>849.0</v>
      </c>
      <c r="AK36" s="120">
        <v>0.0</v>
      </c>
      <c r="AL36" s="119">
        <v>85.0</v>
      </c>
      <c r="AM36" s="119">
        <v>270.0</v>
      </c>
      <c r="AN36" s="119">
        <v>118.0</v>
      </c>
      <c r="AO36" s="146">
        <v>4283.0</v>
      </c>
      <c r="AP36" s="131">
        <v>1969.0</v>
      </c>
      <c r="AQ36" s="119">
        <v>90.0</v>
      </c>
      <c r="AR36" s="119">
        <v>19.0</v>
      </c>
      <c r="AS36" s="119">
        <v>494.0</v>
      </c>
      <c r="AT36" s="119">
        <v>379.0</v>
      </c>
      <c r="AU36" s="119">
        <v>344.0</v>
      </c>
      <c r="AV36" s="119">
        <v>379.0</v>
      </c>
      <c r="AW36" s="120">
        <v>15.0</v>
      </c>
      <c r="AX36" s="135"/>
      <c r="AY36" s="135"/>
      <c r="AZ36" s="136"/>
      <c r="BA36" s="136"/>
      <c r="BB36" s="116"/>
      <c r="BC36" s="116"/>
      <c r="BD36" s="116"/>
      <c r="BE36" s="116"/>
      <c r="BF36" s="116"/>
      <c r="BG36" s="116"/>
      <c r="BH36" s="116"/>
      <c r="BI36" s="116"/>
    </row>
    <row r="37" ht="15.75" customHeight="1">
      <c r="A37" s="145"/>
      <c r="B37" s="38" t="s">
        <v>75</v>
      </c>
      <c r="C37" s="147">
        <v>9.0</v>
      </c>
      <c r="D37" s="126">
        <v>2235.0</v>
      </c>
      <c r="E37" s="147">
        <v>55.0</v>
      </c>
      <c r="F37" s="148"/>
      <c r="G37" s="147"/>
      <c r="H37" s="147"/>
      <c r="I37" s="149"/>
      <c r="J37" s="149"/>
      <c r="K37" s="149"/>
      <c r="L37" s="126">
        <v>25342.0</v>
      </c>
      <c r="M37" s="126">
        <v>45652.0</v>
      </c>
      <c r="N37" s="126">
        <v>2619.0</v>
      </c>
      <c r="O37" s="149">
        <v>277.0</v>
      </c>
      <c r="P37" s="126">
        <v>6182.0</v>
      </c>
      <c r="Q37" s="149">
        <v>869.0</v>
      </c>
      <c r="R37" s="150">
        <v>0.0</v>
      </c>
      <c r="S37" s="149">
        <v>89.0</v>
      </c>
      <c r="T37" s="130">
        <f t="shared" si="5"/>
        <v>2299</v>
      </c>
      <c r="U37" s="130">
        <f t="shared" si="6"/>
        <v>0</v>
      </c>
      <c r="V37" s="130">
        <f t="shared" si="7"/>
        <v>70994</v>
      </c>
      <c r="W37" s="130">
        <f t="shared" si="8"/>
        <v>10036</v>
      </c>
      <c r="X37" s="116">
        <f t="shared" si="9"/>
        <v>0.03771449195</v>
      </c>
      <c r="Y37" s="116">
        <f t="shared" si="10"/>
        <v>0.9622855081</v>
      </c>
      <c r="Z37" s="114">
        <f>SUM(C37:K37)</f>
        <v>2299</v>
      </c>
      <c r="AA37" s="114">
        <f>((L37+M37)-(SUM(N37:S37)))</f>
        <v>60958</v>
      </c>
      <c r="AB37" s="151">
        <f t="shared" ref="AB37:AB38" si="29">Z37/AA37</f>
        <v>0.03771449195</v>
      </c>
      <c r="AC37" s="151">
        <f t="shared" ref="AC37:AC38" si="30">100%-AB37</f>
        <v>0.9622855081</v>
      </c>
      <c r="AD37" s="116"/>
      <c r="AE37" s="116"/>
      <c r="AF37" s="117"/>
      <c r="AG37" s="118" t="s">
        <v>75</v>
      </c>
      <c r="AH37" s="119">
        <v>4.0</v>
      </c>
      <c r="AI37" s="119">
        <v>12.0</v>
      </c>
      <c r="AJ37" s="119">
        <v>1863.0</v>
      </c>
      <c r="AK37" s="120">
        <v>37.0</v>
      </c>
      <c r="AL37" s="119">
        <v>26.0</v>
      </c>
      <c r="AM37" s="119">
        <v>38.0</v>
      </c>
      <c r="AN37" s="119">
        <v>13.0</v>
      </c>
      <c r="AO37" s="146">
        <v>26665.0</v>
      </c>
      <c r="AP37" s="131">
        <v>15825.0</v>
      </c>
      <c r="AQ37" s="119">
        <v>2601.0</v>
      </c>
      <c r="AR37" s="119">
        <v>129.0</v>
      </c>
      <c r="AS37" s="119">
        <v>0.0</v>
      </c>
      <c r="AT37" s="119">
        <v>40.0</v>
      </c>
      <c r="AU37" s="119">
        <v>70.0</v>
      </c>
      <c r="AV37" s="119">
        <v>40.0</v>
      </c>
      <c r="AW37" s="120">
        <v>12.0</v>
      </c>
      <c r="AX37" s="120">
        <v>1251.0</v>
      </c>
      <c r="AY37" s="120">
        <v>56705.0</v>
      </c>
      <c r="AZ37" s="123">
        <v>0.02206154660082885</v>
      </c>
      <c r="BA37" s="123">
        <v>0.9779384533991712</v>
      </c>
      <c r="BB37" s="116"/>
      <c r="BC37" s="116"/>
      <c r="BD37" s="116"/>
      <c r="BE37" s="116"/>
      <c r="BF37" s="116"/>
      <c r="BG37" s="116"/>
      <c r="BH37" s="116"/>
      <c r="BI37" s="116"/>
    </row>
    <row r="38" ht="25.5" customHeight="1">
      <c r="A38" s="152"/>
      <c r="B38" s="153" t="s">
        <v>38</v>
      </c>
      <c r="C38" s="154">
        <f>SUM(C6:C37)</f>
        <v>30881</v>
      </c>
      <c r="D38" s="154">
        <f>SUM(D7:D37)</f>
        <v>131136</v>
      </c>
      <c r="E38" s="154">
        <f t="shared" ref="E38:W38" si="27">SUM(E6:E37)</f>
        <v>1797</v>
      </c>
      <c r="F38" s="154">
        <f t="shared" si="27"/>
        <v>0</v>
      </c>
      <c r="G38" s="154">
        <f t="shared" si="27"/>
        <v>0</v>
      </c>
      <c r="H38" s="154">
        <f t="shared" si="27"/>
        <v>0</v>
      </c>
      <c r="I38" s="154">
        <f t="shared" si="27"/>
        <v>0</v>
      </c>
      <c r="J38" s="154">
        <f t="shared" si="27"/>
        <v>0</v>
      </c>
      <c r="K38" s="154">
        <f t="shared" si="27"/>
        <v>0</v>
      </c>
      <c r="L38" s="154">
        <f t="shared" si="27"/>
        <v>1803571</v>
      </c>
      <c r="M38" s="154">
        <f t="shared" si="27"/>
        <v>2102671</v>
      </c>
      <c r="N38" s="154">
        <f t="shared" si="27"/>
        <v>44290</v>
      </c>
      <c r="O38" s="154">
        <f t="shared" si="27"/>
        <v>50783</v>
      </c>
      <c r="P38" s="154">
        <f t="shared" si="27"/>
        <v>449210</v>
      </c>
      <c r="Q38" s="154">
        <f t="shared" si="27"/>
        <v>10145</v>
      </c>
      <c r="R38" s="154">
        <f t="shared" si="27"/>
        <v>11118</v>
      </c>
      <c r="S38" s="155">
        <f t="shared" si="27"/>
        <v>7936</v>
      </c>
      <c r="T38" s="155" t="str">
        <f t="shared" si="27"/>
        <v>#VALUE!</v>
      </c>
      <c r="U38" s="155">
        <f t="shared" si="27"/>
        <v>0</v>
      </c>
      <c r="V38" s="155" t="str">
        <f t="shared" si="27"/>
        <v>#VALUE!</v>
      </c>
      <c r="W38" s="155" t="str">
        <f t="shared" si="27"/>
        <v>#VALUE!</v>
      </c>
      <c r="X38" s="156" t="str">
        <f t="shared" si="9"/>
        <v>#VALUE!</v>
      </c>
      <c r="Y38" s="156" t="str">
        <f t="shared" si="10"/>
        <v>#VALUE!</v>
      </c>
      <c r="Z38" s="155">
        <f t="shared" ref="Z38:AA38" si="28">SUM(Z6:Z37)</f>
        <v>113526</v>
      </c>
      <c r="AA38" s="155" t="str">
        <f t="shared" si="28"/>
        <v>#VALUE!</v>
      </c>
      <c r="AB38" s="157" t="str">
        <f t="shared" si="29"/>
        <v>#VALUE!</v>
      </c>
      <c r="AC38" s="157" t="str">
        <f t="shared" si="30"/>
        <v>#VALUE!</v>
      </c>
      <c r="AD38" s="158"/>
      <c r="AE38" s="158"/>
      <c r="AF38" s="159"/>
      <c r="AG38" s="160" t="s">
        <v>38</v>
      </c>
      <c r="AH38" s="154">
        <v>27858.0</v>
      </c>
      <c r="AI38" s="154">
        <v>19864.0</v>
      </c>
      <c r="AJ38" s="154">
        <v>86192.0</v>
      </c>
      <c r="AK38" s="154">
        <v>2167.0</v>
      </c>
      <c r="AL38" s="154">
        <v>8029.0</v>
      </c>
      <c r="AM38" s="154">
        <v>9161.0</v>
      </c>
      <c r="AN38" s="154">
        <v>2228.0</v>
      </c>
      <c r="AO38" s="161">
        <v>2139747.0</v>
      </c>
      <c r="AP38" s="154">
        <v>1176019.0</v>
      </c>
      <c r="AQ38" s="154">
        <v>29955.0</v>
      </c>
      <c r="AR38" s="154">
        <v>86911.0</v>
      </c>
      <c r="AS38" s="154">
        <v>202530.0</v>
      </c>
      <c r="AT38" s="154">
        <v>4449.0</v>
      </c>
      <c r="AU38" s="154">
        <v>4069.0</v>
      </c>
      <c r="AV38" s="154">
        <v>4449.0</v>
      </c>
      <c r="AW38" s="154">
        <v>19864.0</v>
      </c>
      <c r="AX38" s="135">
        <v>192716.0</v>
      </c>
      <c r="AY38" s="135">
        <v>4420325.0</v>
      </c>
      <c r="AZ38" s="136">
        <v>0.04359769926419437</v>
      </c>
      <c r="BA38" s="162">
        <v>0.9564023007358057</v>
      </c>
      <c r="BB38" s="158"/>
      <c r="BC38" s="158"/>
      <c r="BD38" s="158"/>
      <c r="BE38" s="158"/>
      <c r="BF38" s="158"/>
      <c r="BG38" s="158"/>
      <c r="BH38" s="158"/>
      <c r="BI38" s="158"/>
    </row>
    <row r="39" ht="15.75" customHeight="1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4"/>
      <c r="AU39" s="164"/>
      <c r="AV39" s="164"/>
      <c r="AW39" s="164"/>
      <c r="AX39" s="164"/>
      <c r="AY39" s="164"/>
      <c r="AZ39" s="164"/>
      <c r="BA39" s="164"/>
      <c r="BB39" s="164"/>
      <c r="BC39" s="164"/>
      <c r="BD39" s="164"/>
      <c r="BE39" s="164"/>
      <c r="BF39" s="164"/>
      <c r="BG39" s="164"/>
      <c r="BH39" s="164"/>
      <c r="BI39" s="164"/>
    </row>
    <row r="40" ht="15.75" customHeight="1">
      <c r="A40" s="163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BB40" s="164"/>
      <c r="BC40" s="164"/>
      <c r="BD40" s="164"/>
      <c r="BE40" s="164"/>
      <c r="BF40" s="164"/>
      <c r="BG40" s="164"/>
      <c r="BH40" s="164"/>
      <c r="BI40" s="164"/>
    </row>
    <row r="41" ht="15.75" customHeight="1">
      <c r="A41" s="164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64"/>
      <c r="BG41" s="164"/>
      <c r="BH41" s="164"/>
      <c r="BI41" s="164"/>
    </row>
    <row r="42" ht="15.75" customHeight="1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</row>
    <row r="43" ht="15.75" customHeight="1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64"/>
      <c r="BH43" s="164"/>
      <c r="BI43" s="164"/>
    </row>
    <row r="44" ht="15.75" customHeight="1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</row>
    <row r="45" ht="15.75" customHeight="1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</row>
    <row r="46" ht="15.75" customHeight="1">
      <c r="A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</row>
    <row r="47" ht="15.75" customHeight="1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</row>
    <row r="48" ht="15.75" customHeight="1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</row>
    <row r="49" ht="15.75" customHeight="1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</row>
    <row r="50" ht="15.75" customHeight="1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</row>
    <row r="51" ht="15.75" customHeight="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</row>
    <row r="52" ht="15.75" customHeight="1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</row>
    <row r="53" ht="15.75" customHeight="1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</row>
    <row r="54" ht="15.75" customHeight="1">
      <c r="A54" s="165"/>
      <c r="B54" s="165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</row>
    <row r="55" ht="15.75" customHeight="1">
      <c r="A55" s="164"/>
      <c r="B55" s="166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</row>
    <row r="56" ht="15.75" customHeight="1">
      <c r="A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</row>
    <row r="57" ht="15.75" customHeight="1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</row>
    <row r="58" ht="15.75" customHeight="1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</row>
    <row r="59" ht="15.75" customHeight="1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</row>
    <row r="60" ht="15.75" customHeight="1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</row>
    <row r="61" ht="15.75" customHeight="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</row>
    <row r="62" ht="15.75" customHeight="1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</row>
    <row r="63" ht="15.75" customHeight="1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</row>
    <row r="64" ht="15.75" customHeight="1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</row>
    <row r="65" ht="15.75" customHeight="1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</row>
    <row r="66" ht="15.75" customHeight="1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</row>
    <row r="67" ht="15.75" customHeight="1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</row>
    <row r="68" ht="15.75" customHeight="1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</row>
    <row r="69" ht="15.75" customHeight="1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</row>
    <row r="70" ht="15.75" customHeight="1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</row>
    <row r="71" ht="15.75" customHeight="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</row>
    <row r="72" ht="15.75" customHeight="1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</row>
    <row r="73" ht="15.75" customHeight="1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</row>
    <row r="74" ht="15.75" customHeight="1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</row>
    <row r="75" ht="15.75" customHeight="1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</row>
    <row r="76" ht="15.75" customHeight="1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</row>
    <row r="77" ht="15.75" customHeight="1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</row>
    <row r="78" ht="15.75" customHeight="1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</row>
    <row r="79" ht="15.75" customHeight="1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</row>
    <row r="80" ht="15.75" customHeight="1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</row>
    <row r="81" ht="15.75" customHeight="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</row>
    <row r="82" ht="15.75" customHeight="1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</row>
    <row r="83" ht="15.75" customHeight="1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  <c r="BF83" s="164"/>
      <c r="BG83" s="164"/>
      <c r="BH83" s="164"/>
      <c r="BI83" s="164"/>
    </row>
    <row r="84" ht="15.75" customHeight="1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  <c r="BH84" s="164"/>
      <c r="BI84" s="164"/>
    </row>
    <row r="85" ht="15.75" customHeight="1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F85" s="164"/>
      <c r="BG85" s="164"/>
      <c r="BH85" s="164"/>
      <c r="BI85" s="164"/>
    </row>
    <row r="86" ht="15.75" customHeight="1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</row>
    <row r="87" ht="15.75" customHeight="1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  <c r="BH87" s="164"/>
      <c r="BI87" s="164"/>
    </row>
    <row r="88" ht="15.75" customHeight="1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  <c r="BF88" s="164"/>
      <c r="BG88" s="164"/>
      <c r="BH88" s="164"/>
      <c r="BI88" s="164"/>
    </row>
    <row r="89" ht="15.75" customHeight="1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4"/>
      <c r="BD89" s="164"/>
      <c r="BE89" s="164"/>
      <c r="BF89" s="164"/>
      <c r="BG89" s="164"/>
      <c r="BH89" s="164"/>
      <c r="BI89" s="164"/>
    </row>
    <row r="90" ht="15.75" customHeight="1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  <c r="BH90" s="164"/>
      <c r="BI90" s="164"/>
    </row>
    <row r="91" ht="15.75" customHeight="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  <c r="AS91" s="164"/>
      <c r="AT91" s="164"/>
      <c r="AU91" s="164"/>
      <c r="AV91" s="164"/>
      <c r="AW91" s="164"/>
      <c r="AX91" s="164"/>
      <c r="AY91" s="164"/>
      <c r="AZ91" s="164"/>
      <c r="BA91" s="164"/>
      <c r="BB91" s="164"/>
      <c r="BC91" s="164"/>
      <c r="BD91" s="164"/>
      <c r="BE91" s="164"/>
      <c r="BF91" s="164"/>
      <c r="BG91" s="164"/>
      <c r="BH91" s="164"/>
      <c r="BI91" s="164"/>
    </row>
    <row r="92" ht="15.75" customHeight="1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164"/>
      <c r="BB92" s="164"/>
      <c r="BC92" s="164"/>
      <c r="BD92" s="164"/>
      <c r="BE92" s="164"/>
      <c r="BF92" s="164"/>
      <c r="BG92" s="164"/>
      <c r="BH92" s="164"/>
      <c r="BI92" s="164"/>
    </row>
    <row r="93" ht="15.75" customHeight="1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  <c r="AR93" s="164"/>
      <c r="AS93" s="164"/>
      <c r="AT93" s="164"/>
      <c r="AU93" s="164"/>
      <c r="AV93" s="164"/>
      <c r="AW93" s="164"/>
      <c r="AX93" s="164"/>
      <c r="AY93" s="164"/>
      <c r="AZ93" s="164"/>
      <c r="BA93" s="164"/>
      <c r="BB93" s="164"/>
      <c r="BC93" s="164"/>
      <c r="BD93" s="164"/>
      <c r="BE93" s="164"/>
      <c r="BF93" s="164"/>
      <c r="BG93" s="164"/>
      <c r="BH93" s="164"/>
      <c r="BI93" s="164"/>
    </row>
    <row r="94" ht="15.75" customHeight="1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  <c r="AO94" s="164"/>
      <c r="AP94" s="164"/>
      <c r="AQ94" s="164"/>
      <c r="AR94" s="164"/>
      <c r="AS94" s="164"/>
      <c r="AT94" s="164"/>
      <c r="AU94" s="164"/>
      <c r="AV94" s="164"/>
      <c r="AW94" s="164"/>
      <c r="AX94" s="164"/>
      <c r="AY94" s="164"/>
      <c r="AZ94" s="164"/>
      <c r="BA94" s="164"/>
      <c r="BB94" s="164"/>
      <c r="BC94" s="164"/>
      <c r="BD94" s="164"/>
      <c r="BE94" s="164"/>
      <c r="BF94" s="164"/>
      <c r="BG94" s="164"/>
      <c r="BH94" s="164"/>
      <c r="BI94" s="164"/>
    </row>
    <row r="95" ht="15.75" customHeight="1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64"/>
      <c r="AO95" s="164"/>
      <c r="AP95" s="164"/>
      <c r="AQ95" s="164"/>
      <c r="AR95" s="164"/>
      <c r="AS95" s="164"/>
      <c r="AT95" s="164"/>
      <c r="AU95" s="164"/>
      <c r="AV95" s="164"/>
      <c r="AW95" s="164"/>
      <c r="AX95" s="164"/>
      <c r="AY95" s="164"/>
      <c r="AZ95" s="164"/>
      <c r="BA95" s="164"/>
      <c r="BB95" s="164"/>
      <c r="BC95" s="164"/>
      <c r="BD95" s="164"/>
      <c r="BE95" s="164"/>
      <c r="BF95" s="164"/>
      <c r="BG95" s="164"/>
      <c r="BH95" s="164"/>
      <c r="BI95" s="164"/>
    </row>
    <row r="96" ht="15.75" customHeight="1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  <c r="AR96" s="164"/>
      <c r="AS96" s="164"/>
      <c r="AT96" s="164"/>
      <c r="AU96" s="164"/>
      <c r="AV96" s="164"/>
      <c r="AW96" s="164"/>
      <c r="AX96" s="164"/>
      <c r="AY96" s="164"/>
      <c r="AZ96" s="164"/>
      <c r="BA96" s="164"/>
      <c r="BB96" s="164"/>
      <c r="BC96" s="164"/>
      <c r="BD96" s="164"/>
      <c r="BE96" s="164"/>
      <c r="BF96" s="164"/>
      <c r="BG96" s="164"/>
      <c r="BH96" s="164"/>
      <c r="BI96" s="164"/>
    </row>
    <row r="97" ht="15.75" customHeight="1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</row>
    <row r="98" ht="15.75" customHeight="1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  <c r="AM98" s="164"/>
      <c r="AN98" s="164"/>
      <c r="AO98" s="164"/>
      <c r="AP98" s="164"/>
      <c r="AQ98" s="164"/>
      <c r="AR98" s="164"/>
      <c r="AS98" s="164"/>
      <c r="AT98" s="164"/>
      <c r="AU98" s="164"/>
      <c r="AV98" s="164"/>
      <c r="AW98" s="164"/>
      <c r="AX98" s="164"/>
      <c r="AY98" s="164"/>
      <c r="AZ98" s="164"/>
      <c r="BA98" s="164"/>
      <c r="BB98" s="164"/>
      <c r="BC98" s="164"/>
      <c r="BD98" s="164"/>
      <c r="BE98" s="164"/>
      <c r="BF98" s="164"/>
      <c r="BG98" s="164"/>
      <c r="BH98" s="164"/>
      <c r="BI98" s="164"/>
    </row>
    <row r="99" ht="15.75" customHeight="1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  <c r="AO99" s="164"/>
      <c r="AP99" s="164"/>
      <c r="AQ99" s="164"/>
      <c r="AR99" s="164"/>
      <c r="AS99" s="164"/>
      <c r="AT99" s="164"/>
      <c r="AU99" s="164"/>
      <c r="AV99" s="164"/>
      <c r="AW99" s="164"/>
      <c r="AX99" s="164"/>
      <c r="AY99" s="164"/>
      <c r="AZ99" s="164"/>
      <c r="BA99" s="164"/>
      <c r="BB99" s="164"/>
      <c r="BC99" s="164"/>
      <c r="BD99" s="164"/>
      <c r="BE99" s="164"/>
      <c r="BF99" s="164"/>
      <c r="BG99" s="164"/>
      <c r="BH99" s="164"/>
      <c r="BI99" s="164"/>
    </row>
    <row r="100" ht="15.75" customHeight="1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  <c r="AO100" s="164"/>
      <c r="AP100" s="164"/>
      <c r="AQ100" s="164"/>
      <c r="AR100" s="164"/>
      <c r="AS100" s="164"/>
      <c r="AT100" s="164"/>
      <c r="AU100" s="164"/>
      <c r="AV100" s="164"/>
      <c r="AW100" s="164"/>
      <c r="AX100" s="164"/>
      <c r="AY100" s="164"/>
      <c r="AZ100" s="164"/>
      <c r="BA100" s="164"/>
      <c r="BB100" s="164"/>
      <c r="BC100" s="164"/>
      <c r="BD100" s="164"/>
      <c r="BE100" s="164"/>
      <c r="BF100" s="164"/>
      <c r="BG100" s="164"/>
      <c r="BH100" s="164"/>
      <c r="BI100" s="164"/>
    </row>
    <row r="101" ht="15.75" customHeight="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  <c r="AO101" s="164"/>
      <c r="AP101" s="164"/>
      <c r="AQ101" s="164"/>
      <c r="AR101" s="164"/>
      <c r="AS101" s="164"/>
      <c r="AT101" s="164"/>
      <c r="AU101" s="164"/>
      <c r="AV101" s="164"/>
      <c r="AW101" s="164"/>
      <c r="AX101" s="164"/>
      <c r="AY101" s="164"/>
      <c r="AZ101" s="164"/>
      <c r="BA101" s="164"/>
      <c r="BB101" s="164"/>
      <c r="BC101" s="164"/>
      <c r="BD101" s="164"/>
      <c r="BE101" s="164"/>
      <c r="BF101" s="164"/>
      <c r="BG101" s="164"/>
      <c r="BH101" s="164"/>
      <c r="BI101" s="164"/>
    </row>
    <row r="102" ht="15.75" customHeight="1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  <c r="AO102" s="164"/>
      <c r="AP102" s="164"/>
      <c r="AQ102" s="164"/>
      <c r="AR102" s="164"/>
      <c r="AS102" s="164"/>
      <c r="AT102" s="164"/>
      <c r="AU102" s="164"/>
      <c r="AV102" s="164"/>
      <c r="AW102" s="164"/>
      <c r="AX102" s="164"/>
      <c r="AY102" s="164"/>
      <c r="AZ102" s="164"/>
      <c r="BA102" s="164"/>
      <c r="BB102" s="164"/>
      <c r="BC102" s="164"/>
      <c r="BD102" s="164"/>
      <c r="BE102" s="164"/>
      <c r="BF102" s="164"/>
      <c r="BG102" s="164"/>
      <c r="BH102" s="164"/>
      <c r="BI102" s="164"/>
    </row>
    <row r="103" ht="15.75" customHeight="1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/>
      <c r="AL103" s="164"/>
      <c r="AM103" s="164"/>
      <c r="AN103" s="164"/>
      <c r="AO103" s="164"/>
      <c r="AP103" s="164"/>
      <c r="AQ103" s="164"/>
      <c r="AR103" s="164"/>
      <c r="AS103" s="164"/>
      <c r="AT103" s="164"/>
      <c r="AU103" s="164"/>
      <c r="AV103" s="164"/>
      <c r="AW103" s="164"/>
      <c r="AX103" s="164"/>
      <c r="AY103" s="164"/>
      <c r="AZ103" s="164"/>
      <c r="BA103" s="164"/>
      <c r="BB103" s="164"/>
      <c r="BC103" s="164"/>
      <c r="BD103" s="164"/>
      <c r="BE103" s="164"/>
      <c r="BF103" s="164"/>
      <c r="BG103" s="164"/>
      <c r="BH103" s="164"/>
      <c r="BI103" s="164"/>
    </row>
    <row r="104" ht="15.75" customHeight="1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4"/>
      <c r="AT104" s="164"/>
      <c r="AU104" s="164"/>
      <c r="AV104" s="164"/>
      <c r="AW104" s="164"/>
      <c r="AX104" s="164"/>
      <c r="AY104" s="164"/>
      <c r="AZ104" s="164"/>
      <c r="BA104" s="164"/>
      <c r="BB104" s="164"/>
      <c r="BC104" s="164"/>
      <c r="BD104" s="164"/>
      <c r="BE104" s="164"/>
      <c r="BF104" s="164"/>
      <c r="BG104" s="164"/>
      <c r="BH104" s="164"/>
      <c r="BI104" s="164"/>
    </row>
    <row r="105" ht="15.75" customHeight="1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4"/>
      <c r="AT105" s="164"/>
      <c r="AU105" s="164"/>
      <c r="AV105" s="164"/>
      <c r="AW105" s="164"/>
      <c r="AX105" s="164"/>
      <c r="AY105" s="164"/>
      <c r="AZ105" s="164"/>
      <c r="BA105" s="164"/>
      <c r="BB105" s="164"/>
      <c r="BC105" s="164"/>
      <c r="BD105" s="164"/>
      <c r="BE105" s="164"/>
      <c r="BF105" s="164"/>
      <c r="BG105" s="164"/>
      <c r="BH105" s="164"/>
      <c r="BI105" s="164"/>
    </row>
    <row r="106" ht="15.75" customHeight="1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4"/>
      <c r="AT106" s="164"/>
      <c r="AU106" s="164"/>
      <c r="AV106" s="164"/>
      <c r="AW106" s="164"/>
      <c r="AX106" s="164"/>
      <c r="AY106" s="164"/>
      <c r="AZ106" s="164"/>
      <c r="BA106" s="164"/>
      <c r="BB106" s="164"/>
      <c r="BC106" s="164"/>
      <c r="BD106" s="164"/>
      <c r="BE106" s="164"/>
      <c r="BF106" s="164"/>
      <c r="BG106" s="164"/>
      <c r="BH106" s="164"/>
      <c r="BI106" s="164"/>
    </row>
    <row r="107" ht="15.75" customHeight="1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4"/>
      <c r="AT107" s="164"/>
      <c r="AU107" s="164"/>
      <c r="AV107" s="164"/>
      <c r="AW107" s="164"/>
      <c r="AX107" s="164"/>
      <c r="AY107" s="164"/>
      <c r="AZ107" s="164"/>
      <c r="BA107" s="164"/>
      <c r="BB107" s="164"/>
      <c r="BC107" s="164"/>
      <c r="BD107" s="164"/>
      <c r="BE107" s="164"/>
      <c r="BF107" s="164"/>
      <c r="BG107" s="164"/>
      <c r="BH107" s="164"/>
      <c r="BI107" s="164"/>
    </row>
    <row r="108" ht="15.75" customHeight="1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  <c r="AR108" s="164"/>
      <c r="AS108" s="164"/>
      <c r="AT108" s="164"/>
      <c r="AU108" s="164"/>
      <c r="AV108" s="164"/>
      <c r="AW108" s="164"/>
      <c r="AX108" s="164"/>
      <c r="AY108" s="164"/>
      <c r="AZ108" s="164"/>
      <c r="BA108" s="164"/>
      <c r="BB108" s="164"/>
      <c r="BC108" s="164"/>
      <c r="BD108" s="164"/>
      <c r="BE108" s="164"/>
      <c r="BF108" s="164"/>
      <c r="BG108" s="164"/>
      <c r="BH108" s="164"/>
      <c r="BI108" s="164"/>
    </row>
    <row r="109" ht="15.75" customHeight="1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  <c r="AM109" s="164"/>
      <c r="AN109" s="164"/>
      <c r="AO109" s="164"/>
      <c r="AP109" s="164"/>
      <c r="AQ109" s="164"/>
      <c r="AR109" s="164"/>
      <c r="AS109" s="164"/>
      <c r="AT109" s="164"/>
      <c r="AU109" s="164"/>
      <c r="AV109" s="164"/>
      <c r="AW109" s="164"/>
      <c r="AX109" s="164"/>
      <c r="AY109" s="164"/>
      <c r="AZ109" s="164"/>
      <c r="BA109" s="164"/>
      <c r="BB109" s="164"/>
      <c r="BC109" s="164"/>
      <c r="BD109" s="164"/>
      <c r="BE109" s="164"/>
      <c r="BF109" s="164"/>
      <c r="BG109" s="164"/>
      <c r="BH109" s="164"/>
      <c r="BI109" s="164"/>
    </row>
    <row r="110" ht="15.75" customHeight="1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64"/>
      <c r="AO110" s="164"/>
      <c r="AP110" s="164"/>
      <c r="AQ110" s="164"/>
      <c r="AR110" s="164"/>
      <c r="AS110" s="164"/>
      <c r="AT110" s="164"/>
      <c r="AU110" s="164"/>
      <c r="AV110" s="164"/>
      <c r="AW110" s="164"/>
      <c r="AX110" s="164"/>
      <c r="AY110" s="164"/>
      <c r="AZ110" s="164"/>
      <c r="BA110" s="164"/>
      <c r="BB110" s="164"/>
      <c r="BC110" s="164"/>
      <c r="BD110" s="164"/>
      <c r="BE110" s="164"/>
      <c r="BF110" s="164"/>
      <c r="BG110" s="164"/>
      <c r="BH110" s="164"/>
      <c r="BI110" s="164"/>
    </row>
    <row r="111" ht="15.75" customHeight="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  <c r="AM111" s="164"/>
      <c r="AN111" s="164"/>
      <c r="AO111" s="164"/>
      <c r="AP111" s="164"/>
      <c r="AQ111" s="164"/>
      <c r="AR111" s="164"/>
      <c r="AS111" s="164"/>
      <c r="AT111" s="164"/>
      <c r="AU111" s="164"/>
      <c r="AV111" s="164"/>
      <c r="AW111" s="164"/>
      <c r="AX111" s="164"/>
      <c r="AY111" s="164"/>
      <c r="AZ111" s="164"/>
      <c r="BA111" s="164"/>
      <c r="BB111" s="164"/>
      <c r="BC111" s="164"/>
      <c r="BD111" s="164"/>
      <c r="BE111" s="164"/>
      <c r="BF111" s="164"/>
      <c r="BG111" s="164"/>
      <c r="BH111" s="164"/>
      <c r="BI111" s="164"/>
    </row>
    <row r="112" ht="15.75" customHeight="1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64"/>
      <c r="AO112" s="164"/>
      <c r="AP112" s="164"/>
      <c r="AQ112" s="164"/>
      <c r="AR112" s="164"/>
      <c r="AS112" s="164"/>
      <c r="AT112" s="164"/>
      <c r="AU112" s="164"/>
      <c r="AV112" s="164"/>
      <c r="AW112" s="164"/>
      <c r="AX112" s="164"/>
      <c r="AY112" s="164"/>
      <c r="AZ112" s="164"/>
      <c r="BA112" s="164"/>
      <c r="BB112" s="164"/>
      <c r="BC112" s="164"/>
      <c r="BD112" s="164"/>
      <c r="BE112" s="164"/>
      <c r="BF112" s="164"/>
      <c r="BG112" s="164"/>
      <c r="BH112" s="164"/>
      <c r="BI112" s="164"/>
    </row>
    <row r="113" ht="15.75" customHeight="1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  <c r="AM113" s="164"/>
      <c r="AN113" s="164"/>
      <c r="AO113" s="164"/>
      <c r="AP113" s="164"/>
      <c r="AQ113" s="164"/>
      <c r="AR113" s="164"/>
      <c r="AS113" s="164"/>
      <c r="AT113" s="164"/>
      <c r="AU113" s="164"/>
      <c r="AV113" s="164"/>
      <c r="AW113" s="164"/>
      <c r="AX113" s="164"/>
      <c r="AY113" s="164"/>
      <c r="AZ113" s="164"/>
      <c r="BA113" s="164"/>
      <c r="BB113" s="164"/>
      <c r="BC113" s="164"/>
      <c r="BD113" s="164"/>
      <c r="BE113" s="164"/>
      <c r="BF113" s="164"/>
      <c r="BG113" s="164"/>
      <c r="BH113" s="164"/>
      <c r="BI113" s="164"/>
    </row>
    <row r="114" ht="15.75" customHeight="1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  <c r="AM114" s="164"/>
      <c r="AN114" s="164"/>
      <c r="AO114" s="164"/>
      <c r="AP114" s="164"/>
      <c r="AQ114" s="164"/>
      <c r="AR114" s="164"/>
      <c r="AS114" s="164"/>
      <c r="AT114" s="164"/>
      <c r="AU114" s="164"/>
      <c r="AV114" s="164"/>
      <c r="AW114" s="164"/>
      <c r="AX114" s="164"/>
      <c r="AY114" s="164"/>
      <c r="AZ114" s="164"/>
      <c r="BA114" s="164"/>
      <c r="BB114" s="164"/>
      <c r="BC114" s="164"/>
      <c r="BD114" s="164"/>
      <c r="BE114" s="164"/>
      <c r="BF114" s="164"/>
      <c r="BG114" s="164"/>
      <c r="BH114" s="164"/>
      <c r="BI114" s="164"/>
    </row>
    <row r="115" ht="15.75" customHeight="1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  <c r="AM115" s="164"/>
      <c r="AN115" s="164"/>
      <c r="AO115" s="164"/>
      <c r="AP115" s="164"/>
      <c r="AQ115" s="164"/>
      <c r="AR115" s="164"/>
      <c r="AS115" s="164"/>
      <c r="AT115" s="164"/>
      <c r="AU115" s="164"/>
      <c r="AV115" s="164"/>
      <c r="AW115" s="164"/>
      <c r="AX115" s="164"/>
      <c r="AY115" s="164"/>
      <c r="AZ115" s="164"/>
      <c r="BA115" s="164"/>
      <c r="BB115" s="164"/>
      <c r="BC115" s="164"/>
      <c r="BD115" s="164"/>
      <c r="BE115" s="164"/>
      <c r="BF115" s="164"/>
      <c r="BG115" s="164"/>
      <c r="BH115" s="164"/>
      <c r="BI115" s="164"/>
    </row>
    <row r="116" ht="15.75" customHeight="1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  <c r="AM116" s="164"/>
      <c r="AN116" s="164"/>
      <c r="AO116" s="164"/>
      <c r="AP116" s="164"/>
      <c r="AQ116" s="164"/>
      <c r="AR116" s="164"/>
      <c r="AS116" s="164"/>
      <c r="AT116" s="164"/>
      <c r="AU116" s="164"/>
      <c r="AV116" s="164"/>
      <c r="AW116" s="164"/>
      <c r="AX116" s="164"/>
      <c r="AY116" s="164"/>
      <c r="AZ116" s="164"/>
      <c r="BA116" s="164"/>
      <c r="BB116" s="164"/>
      <c r="BC116" s="164"/>
      <c r="BD116" s="164"/>
      <c r="BE116" s="164"/>
      <c r="BF116" s="164"/>
      <c r="BG116" s="164"/>
      <c r="BH116" s="164"/>
      <c r="BI116" s="164"/>
    </row>
    <row r="117" ht="15.75" customHeight="1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  <c r="AJ117" s="164"/>
      <c r="AK117" s="164"/>
      <c r="AL117" s="164"/>
      <c r="AM117" s="164"/>
      <c r="AN117" s="164"/>
      <c r="AO117" s="164"/>
      <c r="AP117" s="164"/>
      <c r="AQ117" s="164"/>
      <c r="AR117" s="164"/>
      <c r="AS117" s="164"/>
      <c r="AT117" s="164"/>
      <c r="AU117" s="164"/>
      <c r="AV117" s="164"/>
      <c r="AW117" s="164"/>
      <c r="AX117" s="164"/>
      <c r="AY117" s="164"/>
      <c r="AZ117" s="164"/>
      <c r="BA117" s="164"/>
      <c r="BB117" s="164"/>
      <c r="BC117" s="164"/>
      <c r="BD117" s="164"/>
      <c r="BE117" s="164"/>
      <c r="BF117" s="164"/>
      <c r="BG117" s="164"/>
      <c r="BH117" s="164"/>
      <c r="BI117" s="164"/>
    </row>
    <row r="118" ht="15.75" customHeight="1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64"/>
      <c r="AJ118" s="164"/>
      <c r="AK118" s="164"/>
      <c r="AL118" s="164"/>
      <c r="AM118" s="164"/>
      <c r="AN118" s="164"/>
      <c r="AO118" s="164"/>
      <c r="AP118" s="164"/>
      <c r="AQ118" s="164"/>
      <c r="AR118" s="164"/>
      <c r="AS118" s="164"/>
      <c r="AT118" s="164"/>
      <c r="AU118" s="164"/>
      <c r="AV118" s="164"/>
      <c r="AW118" s="164"/>
      <c r="AX118" s="164"/>
      <c r="AY118" s="164"/>
      <c r="AZ118" s="164"/>
      <c r="BA118" s="164"/>
      <c r="BB118" s="164"/>
      <c r="BC118" s="164"/>
      <c r="BD118" s="164"/>
      <c r="BE118" s="164"/>
      <c r="BF118" s="164"/>
      <c r="BG118" s="164"/>
      <c r="BH118" s="164"/>
      <c r="BI118" s="164"/>
    </row>
    <row r="119" ht="15.75" customHeight="1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64"/>
      <c r="AK119" s="164"/>
      <c r="AL119" s="164"/>
      <c r="AM119" s="164"/>
      <c r="AN119" s="164"/>
      <c r="AO119" s="164"/>
      <c r="AP119" s="164"/>
      <c r="AQ119" s="164"/>
      <c r="AR119" s="164"/>
      <c r="AS119" s="164"/>
      <c r="AT119" s="164"/>
      <c r="AU119" s="164"/>
      <c r="AV119" s="164"/>
      <c r="AW119" s="164"/>
      <c r="AX119" s="164"/>
      <c r="AY119" s="164"/>
      <c r="AZ119" s="164"/>
      <c r="BA119" s="164"/>
      <c r="BB119" s="164"/>
      <c r="BC119" s="164"/>
      <c r="BD119" s="164"/>
      <c r="BE119" s="164"/>
      <c r="BF119" s="164"/>
      <c r="BG119" s="164"/>
      <c r="BH119" s="164"/>
      <c r="BI119" s="164"/>
    </row>
    <row r="120" ht="15.75" customHeight="1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  <c r="AO120" s="164"/>
      <c r="AP120" s="164"/>
      <c r="AQ120" s="164"/>
      <c r="AR120" s="164"/>
      <c r="AS120" s="164"/>
      <c r="AT120" s="164"/>
      <c r="AU120" s="164"/>
      <c r="AV120" s="164"/>
      <c r="AW120" s="164"/>
      <c r="AX120" s="164"/>
      <c r="AY120" s="164"/>
      <c r="AZ120" s="164"/>
      <c r="BA120" s="164"/>
      <c r="BB120" s="164"/>
      <c r="BC120" s="164"/>
      <c r="BD120" s="164"/>
      <c r="BE120" s="164"/>
      <c r="BF120" s="164"/>
      <c r="BG120" s="164"/>
      <c r="BH120" s="164"/>
      <c r="BI120" s="164"/>
    </row>
    <row r="121" ht="15.75" customHeight="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  <c r="AH121" s="164"/>
      <c r="AI121" s="164"/>
      <c r="AJ121" s="164"/>
      <c r="AK121" s="164"/>
      <c r="AL121" s="164"/>
      <c r="AM121" s="164"/>
      <c r="AN121" s="164"/>
      <c r="AO121" s="164"/>
      <c r="AP121" s="164"/>
      <c r="AQ121" s="164"/>
      <c r="AR121" s="164"/>
      <c r="AS121" s="164"/>
      <c r="AT121" s="164"/>
      <c r="AU121" s="164"/>
      <c r="AV121" s="164"/>
      <c r="AW121" s="164"/>
      <c r="AX121" s="164"/>
      <c r="AY121" s="164"/>
      <c r="AZ121" s="164"/>
      <c r="BA121" s="164"/>
      <c r="BB121" s="164"/>
      <c r="BC121" s="164"/>
      <c r="BD121" s="164"/>
      <c r="BE121" s="164"/>
      <c r="BF121" s="164"/>
      <c r="BG121" s="164"/>
      <c r="BH121" s="164"/>
      <c r="BI121" s="164"/>
    </row>
    <row r="122" ht="15.75" customHeight="1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64"/>
      <c r="AM122" s="164"/>
      <c r="AN122" s="164"/>
      <c r="AO122" s="164"/>
      <c r="AP122" s="164"/>
      <c r="AQ122" s="164"/>
      <c r="AR122" s="164"/>
      <c r="AS122" s="164"/>
      <c r="AT122" s="164"/>
      <c r="AU122" s="164"/>
      <c r="AV122" s="164"/>
      <c r="AW122" s="164"/>
      <c r="AX122" s="164"/>
      <c r="AY122" s="164"/>
      <c r="AZ122" s="164"/>
      <c r="BA122" s="164"/>
      <c r="BB122" s="164"/>
      <c r="BC122" s="164"/>
      <c r="BD122" s="164"/>
      <c r="BE122" s="164"/>
      <c r="BF122" s="164"/>
      <c r="BG122" s="164"/>
      <c r="BH122" s="164"/>
      <c r="BI122" s="164"/>
    </row>
    <row r="123" ht="15.75" customHeight="1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64"/>
      <c r="AJ123" s="164"/>
      <c r="AK123" s="164"/>
      <c r="AL123" s="164"/>
      <c r="AM123" s="164"/>
      <c r="AN123" s="164"/>
      <c r="AO123" s="164"/>
      <c r="AP123" s="164"/>
      <c r="AQ123" s="164"/>
      <c r="AR123" s="164"/>
      <c r="AS123" s="164"/>
      <c r="AT123" s="164"/>
      <c r="AU123" s="164"/>
      <c r="AV123" s="164"/>
      <c r="AW123" s="164"/>
      <c r="AX123" s="164"/>
      <c r="AY123" s="164"/>
      <c r="AZ123" s="164"/>
      <c r="BA123" s="164"/>
      <c r="BB123" s="164"/>
      <c r="BC123" s="164"/>
      <c r="BD123" s="164"/>
      <c r="BE123" s="164"/>
      <c r="BF123" s="164"/>
      <c r="BG123" s="164"/>
      <c r="BH123" s="164"/>
      <c r="BI123" s="164"/>
    </row>
    <row r="124" ht="15.75" customHeight="1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164"/>
      <c r="AJ124" s="164"/>
      <c r="AK124" s="164"/>
      <c r="AL124" s="164"/>
      <c r="AM124" s="164"/>
      <c r="AN124" s="164"/>
      <c r="AO124" s="164"/>
      <c r="AP124" s="164"/>
      <c r="AQ124" s="164"/>
      <c r="AR124" s="164"/>
      <c r="AS124" s="164"/>
      <c r="AT124" s="164"/>
      <c r="AU124" s="164"/>
      <c r="AV124" s="164"/>
      <c r="AW124" s="164"/>
      <c r="AX124" s="164"/>
      <c r="AY124" s="164"/>
      <c r="AZ124" s="164"/>
      <c r="BA124" s="164"/>
      <c r="BB124" s="164"/>
      <c r="BC124" s="164"/>
      <c r="BD124" s="164"/>
      <c r="BE124" s="164"/>
      <c r="BF124" s="164"/>
      <c r="BG124" s="164"/>
      <c r="BH124" s="164"/>
      <c r="BI124" s="164"/>
    </row>
    <row r="125" ht="15.75" customHeight="1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  <c r="AH125" s="164"/>
      <c r="AI125" s="164"/>
      <c r="AJ125" s="164"/>
      <c r="AK125" s="164"/>
      <c r="AL125" s="164"/>
      <c r="AM125" s="164"/>
      <c r="AN125" s="164"/>
      <c r="AO125" s="164"/>
      <c r="AP125" s="164"/>
      <c r="AQ125" s="164"/>
      <c r="AR125" s="164"/>
      <c r="AS125" s="164"/>
      <c r="AT125" s="164"/>
      <c r="AU125" s="164"/>
      <c r="AV125" s="164"/>
      <c r="AW125" s="164"/>
      <c r="AX125" s="164"/>
      <c r="AY125" s="164"/>
      <c r="AZ125" s="164"/>
      <c r="BA125" s="164"/>
      <c r="BB125" s="164"/>
      <c r="BC125" s="164"/>
      <c r="BD125" s="164"/>
      <c r="BE125" s="164"/>
      <c r="BF125" s="164"/>
      <c r="BG125" s="164"/>
      <c r="BH125" s="164"/>
      <c r="BI125" s="164"/>
    </row>
    <row r="126" ht="15.75" customHeight="1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64"/>
      <c r="AJ126" s="164"/>
      <c r="AK126" s="164"/>
      <c r="AL126" s="164"/>
      <c r="AM126" s="164"/>
      <c r="AN126" s="164"/>
      <c r="AO126" s="164"/>
      <c r="AP126" s="164"/>
      <c r="AQ126" s="164"/>
      <c r="AR126" s="164"/>
      <c r="AS126" s="164"/>
      <c r="AT126" s="164"/>
      <c r="AU126" s="164"/>
      <c r="AV126" s="164"/>
      <c r="AW126" s="164"/>
      <c r="AX126" s="164"/>
      <c r="AY126" s="164"/>
      <c r="AZ126" s="164"/>
      <c r="BA126" s="164"/>
      <c r="BB126" s="164"/>
      <c r="BC126" s="164"/>
      <c r="BD126" s="164"/>
      <c r="BE126" s="164"/>
      <c r="BF126" s="164"/>
      <c r="BG126" s="164"/>
      <c r="BH126" s="164"/>
      <c r="BI126" s="164"/>
    </row>
    <row r="127" ht="15.75" customHeight="1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  <c r="AH127" s="164"/>
      <c r="AI127" s="164"/>
      <c r="AJ127" s="164"/>
      <c r="AK127" s="164"/>
      <c r="AL127" s="164"/>
      <c r="AM127" s="164"/>
      <c r="AN127" s="164"/>
      <c r="AO127" s="164"/>
      <c r="AP127" s="164"/>
      <c r="AQ127" s="164"/>
      <c r="AR127" s="164"/>
      <c r="AS127" s="164"/>
      <c r="AT127" s="164"/>
      <c r="AU127" s="164"/>
      <c r="AV127" s="164"/>
      <c r="AW127" s="164"/>
      <c r="AX127" s="164"/>
      <c r="AY127" s="164"/>
      <c r="AZ127" s="164"/>
      <c r="BA127" s="164"/>
      <c r="BB127" s="164"/>
      <c r="BC127" s="164"/>
      <c r="BD127" s="164"/>
      <c r="BE127" s="164"/>
      <c r="BF127" s="164"/>
      <c r="BG127" s="164"/>
      <c r="BH127" s="164"/>
      <c r="BI127" s="164"/>
    </row>
    <row r="128" ht="15.75" customHeight="1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  <c r="AH128" s="164"/>
      <c r="AI128" s="164"/>
      <c r="AJ128" s="164"/>
      <c r="AK128" s="164"/>
      <c r="AL128" s="164"/>
      <c r="AM128" s="164"/>
      <c r="AN128" s="164"/>
      <c r="AO128" s="164"/>
      <c r="AP128" s="164"/>
      <c r="AQ128" s="164"/>
      <c r="AR128" s="164"/>
      <c r="AS128" s="164"/>
      <c r="AT128" s="164"/>
      <c r="AU128" s="164"/>
      <c r="AV128" s="164"/>
      <c r="AW128" s="164"/>
      <c r="AX128" s="164"/>
      <c r="AY128" s="164"/>
      <c r="AZ128" s="164"/>
      <c r="BA128" s="164"/>
      <c r="BB128" s="164"/>
      <c r="BC128" s="164"/>
      <c r="BD128" s="164"/>
      <c r="BE128" s="164"/>
      <c r="BF128" s="164"/>
      <c r="BG128" s="164"/>
      <c r="BH128" s="164"/>
      <c r="BI128" s="164"/>
    </row>
    <row r="129" ht="15.75" customHeight="1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/>
      <c r="AJ129" s="164"/>
      <c r="AK129" s="164"/>
      <c r="AL129" s="164"/>
      <c r="AM129" s="164"/>
      <c r="AN129" s="164"/>
      <c r="AO129" s="164"/>
      <c r="AP129" s="164"/>
      <c r="AQ129" s="164"/>
      <c r="AR129" s="164"/>
      <c r="AS129" s="164"/>
      <c r="AT129" s="164"/>
      <c r="AU129" s="164"/>
      <c r="AV129" s="164"/>
      <c r="AW129" s="164"/>
      <c r="AX129" s="164"/>
      <c r="AY129" s="164"/>
      <c r="AZ129" s="164"/>
      <c r="BA129" s="164"/>
      <c r="BB129" s="164"/>
      <c r="BC129" s="164"/>
      <c r="BD129" s="164"/>
      <c r="BE129" s="164"/>
      <c r="BF129" s="164"/>
      <c r="BG129" s="164"/>
      <c r="BH129" s="164"/>
      <c r="BI129" s="164"/>
    </row>
    <row r="130" ht="15.75" customHeight="1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  <c r="AM130" s="164"/>
      <c r="AN130" s="164"/>
      <c r="AO130" s="164"/>
      <c r="AP130" s="164"/>
      <c r="AQ130" s="164"/>
      <c r="AR130" s="164"/>
      <c r="AS130" s="164"/>
      <c r="AT130" s="164"/>
      <c r="AU130" s="164"/>
      <c r="AV130" s="164"/>
      <c r="AW130" s="164"/>
      <c r="AX130" s="164"/>
      <c r="AY130" s="164"/>
      <c r="AZ130" s="164"/>
      <c r="BA130" s="164"/>
      <c r="BB130" s="164"/>
      <c r="BC130" s="164"/>
      <c r="BD130" s="164"/>
      <c r="BE130" s="164"/>
      <c r="BF130" s="164"/>
      <c r="BG130" s="164"/>
      <c r="BH130" s="164"/>
      <c r="BI130" s="164"/>
    </row>
    <row r="131" ht="15.75" customHeight="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64"/>
      <c r="AM131" s="164"/>
      <c r="AN131" s="164"/>
      <c r="AO131" s="164"/>
      <c r="AP131" s="164"/>
      <c r="AQ131" s="164"/>
      <c r="AR131" s="164"/>
      <c r="AS131" s="164"/>
      <c r="AT131" s="164"/>
      <c r="AU131" s="164"/>
      <c r="AV131" s="164"/>
      <c r="AW131" s="164"/>
      <c r="AX131" s="164"/>
      <c r="AY131" s="164"/>
      <c r="AZ131" s="164"/>
      <c r="BA131" s="164"/>
      <c r="BB131" s="164"/>
      <c r="BC131" s="164"/>
      <c r="BD131" s="164"/>
      <c r="BE131" s="164"/>
      <c r="BF131" s="164"/>
      <c r="BG131" s="164"/>
      <c r="BH131" s="164"/>
      <c r="BI131" s="164"/>
    </row>
    <row r="132" ht="15.75" customHeight="1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64"/>
      <c r="AJ132" s="164"/>
      <c r="AK132" s="164"/>
      <c r="AL132" s="164"/>
      <c r="AM132" s="164"/>
      <c r="AN132" s="164"/>
      <c r="AO132" s="164"/>
      <c r="AP132" s="164"/>
      <c r="AQ132" s="164"/>
      <c r="AR132" s="164"/>
      <c r="AS132" s="164"/>
      <c r="AT132" s="164"/>
      <c r="AU132" s="164"/>
      <c r="AV132" s="164"/>
      <c r="AW132" s="164"/>
      <c r="AX132" s="164"/>
      <c r="AY132" s="164"/>
      <c r="AZ132" s="164"/>
      <c r="BA132" s="164"/>
      <c r="BB132" s="164"/>
      <c r="BC132" s="164"/>
      <c r="BD132" s="164"/>
      <c r="BE132" s="164"/>
      <c r="BF132" s="164"/>
      <c r="BG132" s="164"/>
      <c r="BH132" s="164"/>
      <c r="BI132" s="164"/>
    </row>
    <row r="133" ht="15.75" customHeight="1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64"/>
      <c r="AJ133" s="164"/>
      <c r="AK133" s="164"/>
      <c r="AL133" s="164"/>
      <c r="AM133" s="164"/>
      <c r="AN133" s="164"/>
      <c r="AO133" s="164"/>
      <c r="AP133" s="164"/>
      <c r="AQ133" s="164"/>
      <c r="AR133" s="164"/>
      <c r="AS133" s="164"/>
      <c r="AT133" s="164"/>
      <c r="AU133" s="164"/>
      <c r="AV133" s="164"/>
      <c r="AW133" s="164"/>
      <c r="AX133" s="164"/>
      <c r="AY133" s="164"/>
      <c r="AZ133" s="164"/>
      <c r="BA133" s="164"/>
      <c r="BB133" s="164"/>
      <c r="BC133" s="164"/>
      <c r="BD133" s="164"/>
      <c r="BE133" s="164"/>
      <c r="BF133" s="164"/>
      <c r="BG133" s="164"/>
      <c r="BH133" s="164"/>
      <c r="BI133" s="164"/>
    </row>
    <row r="134" ht="15.75" customHeight="1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  <c r="AO134" s="164"/>
      <c r="AP134" s="164"/>
      <c r="AQ134" s="164"/>
      <c r="AR134" s="164"/>
      <c r="AS134" s="164"/>
      <c r="AT134" s="164"/>
      <c r="AU134" s="164"/>
      <c r="AV134" s="164"/>
      <c r="AW134" s="164"/>
      <c r="AX134" s="164"/>
      <c r="AY134" s="164"/>
      <c r="AZ134" s="164"/>
      <c r="BA134" s="164"/>
      <c r="BB134" s="164"/>
      <c r="BC134" s="164"/>
      <c r="BD134" s="164"/>
      <c r="BE134" s="164"/>
      <c r="BF134" s="164"/>
      <c r="BG134" s="164"/>
      <c r="BH134" s="164"/>
      <c r="BI134" s="164"/>
    </row>
    <row r="135" ht="15.75" customHeight="1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  <c r="AO135" s="164"/>
      <c r="AP135" s="164"/>
      <c r="AQ135" s="164"/>
      <c r="AR135" s="164"/>
      <c r="AS135" s="164"/>
      <c r="AT135" s="164"/>
      <c r="AU135" s="164"/>
      <c r="AV135" s="164"/>
      <c r="AW135" s="164"/>
      <c r="AX135" s="164"/>
      <c r="AY135" s="164"/>
      <c r="AZ135" s="164"/>
      <c r="BA135" s="164"/>
      <c r="BB135" s="164"/>
      <c r="BC135" s="164"/>
      <c r="BD135" s="164"/>
      <c r="BE135" s="164"/>
      <c r="BF135" s="164"/>
      <c r="BG135" s="164"/>
      <c r="BH135" s="164"/>
      <c r="BI135" s="164"/>
    </row>
    <row r="136" ht="15.75" customHeight="1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  <c r="AE136" s="164"/>
      <c r="AF136" s="164"/>
      <c r="AG136" s="164"/>
      <c r="AH136" s="164"/>
      <c r="AI136" s="164"/>
      <c r="AJ136" s="164"/>
      <c r="AK136" s="164"/>
      <c r="AL136" s="164"/>
      <c r="AM136" s="164"/>
      <c r="AN136" s="164"/>
      <c r="AO136" s="164"/>
      <c r="AP136" s="164"/>
      <c r="AQ136" s="164"/>
      <c r="AR136" s="164"/>
      <c r="AS136" s="164"/>
      <c r="AT136" s="164"/>
      <c r="AU136" s="164"/>
      <c r="AV136" s="164"/>
      <c r="AW136" s="164"/>
      <c r="AX136" s="164"/>
      <c r="AY136" s="164"/>
      <c r="AZ136" s="164"/>
      <c r="BA136" s="164"/>
      <c r="BB136" s="164"/>
      <c r="BC136" s="164"/>
      <c r="BD136" s="164"/>
      <c r="BE136" s="164"/>
      <c r="BF136" s="164"/>
      <c r="BG136" s="164"/>
      <c r="BH136" s="164"/>
      <c r="BI136" s="164"/>
    </row>
    <row r="137" ht="15.75" customHeight="1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64"/>
      <c r="AJ137" s="164"/>
      <c r="AK137" s="164"/>
      <c r="AL137" s="164"/>
      <c r="AM137" s="164"/>
      <c r="AN137" s="164"/>
      <c r="AO137" s="164"/>
      <c r="AP137" s="164"/>
      <c r="AQ137" s="164"/>
      <c r="AR137" s="164"/>
      <c r="AS137" s="164"/>
      <c r="AT137" s="164"/>
      <c r="AU137" s="164"/>
      <c r="AV137" s="164"/>
      <c r="AW137" s="164"/>
      <c r="AX137" s="164"/>
      <c r="AY137" s="164"/>
      <c r="AZ137" s="164"/>
      <c r="BA137" s="164"/>
      <c r="BB137" s="164"/>
      <c r="BC137" s="164"/>
      <c r="BD137" s="164"/>
      <c r="BE137" s="164"/>
      <c r="BF137" s="164"/>
      <c r="BG137" s="164"/>
      <c r="BH137" s="164"/>
      <c r="BI137" s="164"/>
    </row>
    <row r="138" ht="15.75" customHeight="1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  <c r="AG138" s="164"/>
      <c r="AH138" s="164"/>
      <c r="AI138" s="164"/>
      <c r="AJ138" s="164"/>
      <c r="AK138" s="164"/>
      <c r="AL138" s="164"/>
      <c r="AM138" s="164"/>
      <c r="AN138" s="164"/>
      <c r="AO138" s="164"/>
      <c r="AP138" s="164"/>
      <c r="AQ138" s="164"/>
      <c r="AR138" s="164"/>
      <c r="AS138" s="164"/>
      <c r="AT138" s="164"/>
      <c r="AU138" s="164"/>
      <c r="AV138" s="164"/>
      <c r="AW138" s="164"/>
      <c r="AX138" s="164"/>
      <c r="AY138" s="164"/>
      <c r="AZ138" s="164"/>
      <c r="BA138" s="164"/>
      <c r="BB138" s="164"/>
      <c r="BC138" s="164"/>
      <c r="BD138" s="164"/>
      <c r="BE138" s="164"/>
      <c r="BF138" s="164"/>
      <c r="BG138" s="164"/>
      <c r="BH138" s="164"/>
      <c r="BI138" s="164"/>
    </row>
    <row r="139" ht="15.75" customHeight="1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  <c r="AG139" s="164"/>
      <c r="AH139" s="164"/>
      <c r="AI139" s="164"/>
      <c r="AJ139" s="164"/>
      <c r="AK139" s="164"/>
      <c r="AL139" s="164"/>
      <c r="AM139" s="164"/>
      <c r="AN139" s="164"/>
      <c r="AO139" s="164"/>
      <c r="AP139" s="164"/>
      <c r="AQ139" s="164"/>
      <c r="AR139" s="164"/>
      <c r="AS139" s="164"/>
      <c r="AT139" s="164"/>
      <c r="AU139" s="164"/>
      <c r="AV139" s="164"/>
      <c r="AW139" s="164"/>
      <c r="AX139" s="164"/>
      <c r="AY139" s="164"/>
      <c r="AZ139" s="164"/>
      <c r="BA139" s="164"/>
      <c r="BB139" s="164"/>
      <c r="BC139" s="164"/>
      <c r="BD139" s="164"/>
      <c r="BE139" s="164"/>
      <c r="BF139" s="164"/>
      <c r="BG139" s="164"/>
      <c r="BH139" s="164"/>
      <c r="BI139" s="164"/>
    </row>
    <row r="140" ht="15.75" customHeight="1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  <c r="AM140" s="164"/>
      <c r="AN140" s="164"/>
      <c r="AO140" s="164"/>
      <c r="AP140" s="164"/>
      <c r="AQ140" s="164"/>
      <c r="AR140" s="164"/>
      <c r="AS140" s="164"/>
      <c r="AT140" s="164"/>
      <c r="AU140" s="164"/>
      <c r="AV140" s="164"/>
      <c r="AW140" s="164"/>
      <c r="AX140" s="164"/>
      <c r="AY140" s="164"/>
      <c r="AZ140" s="164"/>
      <c r="BA140" s="164"/>
      <c r="BB140" s="164"/>
      <c r="BC140" s="164"/>
      <c r="BD140" s="164"/>
      <c r="BE140" s="164"/>
      <c r="BF140" s="164"/>
      <c r="BG140" s="164"/>
      <c r="BH140" s="164"/>
      <c r="BI140" s="164"/>
    </row>
    <row r="141" ht="15.75" customHeight="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  <c r="AE141" s="164"/>
      <c r="AF141" s="164"/>
      <c r="AG141" s="164"/>
      <c r="AH141" s="164"/>
      <c r="AI141" s="164"/>
      <c r="AJ141" s="164"/>
      <c r="AK141" s="164"/>
      <c r="AL141" s="164"/>
      <c r="AM141" s="164"/>
      <c r="AN141" s="164"/>
      <c r="AO141" s="164"/>
      <c r="AP141" s="164"/>
      <c r="AQ141" s="164"/>
      <c r="AR141" s="164"/>
      <c r="AS141" s="164"/>
      <c r="AT141" s="164"/>
      <c r="AU141" s="164"/>
      <c r="AV141" s="164"/>
      <c r="AW141" s="164"/>
      <c r="AX141" s="164"/>
      <c r="AY141" s="164"/>
      <c r="AZ141" s="164"/>
      <c r="BA141" s="164"/>
      <c r="BB141" s="164"/>
      <c r="BC141" s="164"/>
      <c r="BD141" s="164"/>
      <c r="BE141" s="164"/>
      <c r="BF141" s="164"/>
      <c r="BG141" s="164"/>
      <c r="BH141" s="164"/>
      <c r="BI141" s="164"/>
    </row>
    <row r="142" ht="15.75" customHeight="1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  <c r="AE142" s="164"/>
      <c r="AF142" s="164"/>
      <c r="AG142" s="164"/>
      <c r="AH142" s="164"/>
      <c r="AI142" s="164"/>
      <c r="AJ142" s="164"/>
      <c r="AK142" s="164"/>
      <c r="AL142" s="164"/>
      <c r="AM142" s="164"/>
      <c r="AN142" s="164"/>
      <c r="AO142" s="164"/>
      <c r="AP142" s="164"/>
      <c r="AQ142" s="164"/>
      <c r="AR142" s="164"/>
      <c r="AS142" s="164"/>
      <c r="AT142" s="164"/>
      <c r="AU142" s="164"/>
      <c r="AV142" s="164"/>
      <c r="AW142" s="164"/>
      <c r="AX142" s="164"/>
      <c r="AY142" s="164"/>
      <c r="AZ142" s="164"/>
      <c r="BA142" s="164"/>
      <c r="BB142" s="164"/>
      <c r="BC142" s="164"/>
      <c r="BD142" s="164"/>
      <c r="BE142" s="164"/>
      <c r="BF142" s="164"/>
      <c r="BG142" s="164"/>
      <c r="BH142" s="164"/>
      <c r="BI142" s="164"/>
    </row>
    <row r="143" ht="15.75" customHeight="1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  <c r="AE143" s="164"/>
      <c r="AF143" s="164"/>
      <c r="AG143" s="164"/>
      <c r="AH143" s="164"/>
      <c r="AI143" s="164"/>
      <c r="AJ143" s="164"/>
      <c r="AK143" s="164"/>
      <c r="AL143" s="164"/>
      <c r="AM143" s="164"/>
      <c r="AN143" s="164"/>
      <c r="AO143" s="164"/>
      <c r="AP143" s="164"/>
      <c r="AQ143" s="164"/>
      <c r="AR143" s="164"/>
      <c r="AS143" s="164"/>
      <c r="AT143" s="164"/>
      <c r="AU143" s="164"/>
      <c r="AV143" s="164"/>
      <c r="AW143" s="164"/>
      <c r="AX143" s="164"/>
      <c r="AY143" s="164"/>
      <c r="AZ143" s="164"/>
      <c r="BA143" s="164"/>
      <c r="BB143" s="164"/>
      <c r="BC143" s="164"/>
      <c r="BD143" s="164"/>
      <c r="BE143" s="164"/>
      <c r="BF143" s="164"/>
      <c r="BG143" s="164"/>
      <c r="BH143" s="164"/>
      <c r="BI143" s="164"/>
    </row>
    <row r="144" ht="15.75" customHeight="1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  <c r="AD144" s="164"/>
      <c r="AE144" s="164"/>
      <c r="AF144" s="164"/>
      <c r="AG144" s="164"/>
      <c r="AH144" s="164"/>
      <c r="AI144" s="164"/>
      <c r="AJ144" s="164"/>
      <c r="AK144" s="164"/>
      <c r="AL144" s="164"/>
      <c r="AM144" s="164"/>
      <c r="AN144" s="164"/>
      <c r="AO144" s="164"/>
      <c r="AP144" s="164"/>
      <c r="AQ144" s="164"/>
      <c r="AR144" s="164"/>
      <c r="AS144" s="164"/>
      <c r="AT144" s="164"/>
      <c r="AU144" s="164"/>
      <c r="AV144" s="164"/>
      <c r="AW144" s="164"/>
      <c r="AX144" s="164"/>
      <c r="AY144" s="164"/>
      <c r="AZ144" s="164"/>
      <c r="BA144" s="164"/>
      <c r="BB144" s="164"/>
      <c r="BC144" s="164"/>
      <c r="BD144" s="164"/>
      <c r="BE144" s="164"/>
      <c r="BF144" s="164"/>
      <c r="BG144" s="164"/>
      <c r="BH144" s="164"/>
      <c r="BI144" s="164"/>
    </row>
    <row r="145" ht="15.75" customHeight="1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  <c r="AH145" s="164"/>
      <c r="AI145" s="164"/>
      <c r="AJ145" s="164"/>
      <c r="AK145" s="164"/>
      <c r="AL145" s="164"/>
      <c r="AM145" s="164"/>
      <c r="AN145" s="164"/>
      <c r="AO145" s="164"/>
      <c r="AP145" s="164"/>
      <c r="AQ145" s="164"/>
      <c r="AR145" s="164"/>
      <c r="AS145" s="164"/>
      <c r="AT145" s="164"/>
      <c r="AU145" s="164"/>
      <c r="AV145" s="164"/>
      <c r="AW145" s="164"/>
      <c r="AX145" s="164"/>
      <c r="AY145" s="164"/>
      <c r="AZ145" s="164"/>
      <c r="BA145" s="164"/>
      <c r="BB145" s="164"/>
      <c r="BC145" s="164"/>
      <c r="BD145" s="164"/>
      <c r="BE145" s="164"/>
      <c r="BF145" s="164"/>
      <c r="BG145" s="164"/>
      <c r="BH145" s="164"/>
      <c r="BI145" s="164"/>
    </row>
    <row r="146" ht="15.75" customHeight="1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  <c r="AH146" s="164"/>
      <c r="AI146" s="164"/>
      <c r="AJ146" s="164"/>
      <c r="AK146" s="164"/>
      <c r="AL146" s="164"/>
      <c r="AM146" s="164"/>
      <c r="AN146" s="164"/>
      <c r="AO146" s="164"/>
      <c r="AP146" s="164"/>
      <c r="AQ146" s="164"/>
      <c r="AR146" s="164"/>
      <c r="AS146" s="164"/>
      <c r="AT146" s="164"/>
      <c r="AU146" s="164"/>
      <c r="AV146" s="164"/>
      <c r="AW146" s="164"/>
      <c r="AX146" s="164"/>
      <c r="AY146" s="164"/>
      <c r="AZ146" s="164"/>
      <c r="BA146" s="164"/>
      <c r="BB146" s="164"/>
      <c r="BC146" s="164"/>
      <c r="BD146" s="164"/>
      <c r="BE146" s="164"/>
      <c r="BF146" s="164"/>
      <c r="BG146" s="164"/>
      <c r="BH146" s="164"/>
      <c r="BI146" s="164"/>
    </row>
    <row r="147" ht="15.75" customHeight="1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  <c r="AD147" s="164"/>
      <c r="AE147" s="164"/>
      <c r="AF147" s="164"/>
      <c r="AG147" s="164"/>
      <c r="AH147" s="164"/>
      <c r="AI147" s="164"/>
      <c r="AJ147" s="164"/>
      <c r="AK147" s="164"/>
      <c r="AL147" s="164"/>
      <c r="AM147" s="164"/>
      <c r="AN147" s="164"/>
      <c r="AO147" s="164"/>
      <c r="AP147" s="164"/>
      <c r="AQ147" s="164"/>
      <c r="AR147" s="164"/>
      <c r="AS147" s="164"/>
      <c r="AT147" s="164"/>
      <c r="AU147" s="164"/>
      <c r="AV147" s="164"/>
      <c r="AW147" s="164"/>
      <c r="AX147" s="164"/>
      <c r="AY147" s="164"/>
      <c r="AZ147" s="164"/>
      <c r="BA147" s="164"/>
      <c r="BB147" s="164"/>
      <c r="BC147" s="164"/>
      <c r="BD147" s="164"/>
      <c r="BE147" s="164"/>
      <c r="BF147" s="164"/>
      <c r="BG147" s="164"/>
      <c r="BH147" s="164"/>
      <c r="BI147" s="164"/>
    </row>
    <row r="148" ht="15.75" customHeight="1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  <c r="AD148" s="164"/>
      <c r="AE148" s="164"/>
      <c r="AF148" s="164"/>
      <c r="AG148" s="164"/>
      <c r="AH148" s="164"/>
      <c r="AI148" s="164"/>
      <c r="AJ148" s="164"/>
      <c r="AK148" s="164"/>
      <c r="AL148" s="164"/>
      <c r="AM148" s="164"/>
      <c r="AN148" s="164"/>
      <c r="AO148" s="164"/>
      <c r="AP148" s="164"/>
      <c r="AQ148" s="164"/>
      <c r="AR148" s="164"/>
      <c r="AS148" s="164"/>
      <c r="AT148" s="164"/>
      <c r="AU148" s="164"/>
      <c r="AV148" s="164"/>
      <c r="AW148" s="164"/>
      <c r="AX148" s="164"/>
      <c r="AY148" s="164"/>
      <c r="AZ148" s="164"/>
      <c r="BA148" s="164"/>
      <c r="BB148" s="164"/>
      <c r="BC148" s="164"/>
      <c r="BD148" s="164"/>
      <c r="BE148" s="164"/>
      <c r="BF148" s="164"/>
      <c r="BG148" s="164"/>
      <c r="BH148" s="164"/>
      <c r="BI148" s="164"/>
    </row>
    <row r="149" ht="15.75" customHeight="1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  <c r="AD149" s="164"/>
      <c r="AE149" s="164"/>
      <c r="AF149" s="164"/>
      <c r="AG149" s="164"/>
      <c r="AH149" s="164"/>
      <c r="AI149" s="164"/>
      <c r="AJ149" s="164"/>
      <c r="AK149" s="164"/>
      <c r="AL149" s="164"/>
      <c r="AM149" s="164"/>
      <c r="AN149" s="164"/>
      <c r="AO149" s="164"/>
      <c r="AP149" s="164"/>
      <c r="AQ149" s="164"/>
      <c r="AR149" s="164"/>
      <c r="AS149" s="164"/>
      <c r="AT149" s="164"/>
      <c r="AU149" s="164"/>
      <c r="AV149" s="164"/>
      <c r="AW149" s="164"/>
      <c r="AX149" s="164"/>
      <c r="AY149" s="164"/>
      <c r="AZ149" s="164"/>
      <c r="BA149" s="164"/>
      <c r="BB149" s="164"/>
      <c r="BC149" s="164"/>
      <c r="BD149" s="164"/>
      <c r="BE149" s="164"/>
      <c r="BF149" s="164"/>
      <c r="BG149" s="164"/>
      <c r="BH149" s="164"/>
      <c r="BI149" s="164"/>
    </row>
    <row r="150" ht="15.75" customHeight="1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  <c r="AD150" s="164"/>
      <c r="AE150" s="164"/>
      <c r="AF150" s="164"/>
      <c r="AG150" s="164"/>
      <c r="AH150" s="164"/>
      <c r="AI150" s="164"/>
      <c r="AJ150" s="164"/>
      <c r="AK150" s="164"/>
      <c r="AL150" s="164"/>
      <c r="AM150" s="164"/>
      <c r="AN150" s="164"/>
      <c r="AO150" s="164"/>
      <c r="AP150" s="164"/>
      <c r="AQ150" s="164"/>
      <c r="AR150" s="164"/>
      <c r="AS150" s="164"/>
      <c r="AT150" s="164"/>
      <c r="AU150" s="164"/>
      <c r="AV150" s="164"/>
      <c r="AW150" s="164"/>
      <c r="AX150" s="164"/>
      <c r="AY150" s="164"/>
      <c r="AZ150" s="164"/>
      <c r="BA150" s="164"/>
      <c r="BB150" s="164"/>
      <c r="BC150" s="164"/>
      <c r="BD150" s="164"/>
      <c r="BE150" s="164"/>
      <c r="BF150" s="164"/>
      <c r="BG150" s="164"/>
      <c r="BH150" s="164"/>
      <c r="BI150" s="164"/>
    </row>
    <row r="151" ht="15.75" customHeight="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  <c r="AD151" s="164"/>
      <c r="AE151" s="164"/>
      <c r="AF151" s="164"/>
      <c r="AG151" s="164"/>
      <c r="AH151" s="164"/>
      <c r="AI151" s="164"/>
      <c r="AJ151" s="164"/>
      <c r="AK151" s="164"/>
      <c r="AL151" s="164"/>
      <c r="AM151" s="164"/>
      <c r="AN151" s="164"/>
      <c r="AO151" s="164"/>
      <c r="AP151" s="164"/>
      <c r="AQ151" s="164"/>
      <c r="AR151" s="164"/>
      <c r="AS151" s="164"/>
      <c r="AT151" s="164"/>
      <c r="AU151" s="164"/>
      <c r="AV151" s="164"/>
      <c r="AW151" s="164"/>
      <c r="AX151" s="164"/>
      <c r="AY151" s="164"/>
      <c r="AZ151" s="164"/>
      <c r="BA151" s="164"/>
      <c r="BB151" s="164"/>
      <c r="BC151" s="164"/>
      <c r="BD151" s="164"/>
      <c r="BE151" s="164"/>
      <c r="BF151" s="164"/>
      <c r="BG151" s="164"/>
      <c r="BH151" s="164"/>
      <c r="BI151" s="164"/>
    </row>
    <row r="152" ht="15.75" customHeight="1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4"/>
      <c r="AG152" s="164"/>
      <c r="AH152" s="164"/>
      <c r="AI152" s="164"/>
      <c r="AJ152" s="164"/>
      <c r="AK152" s="164"/>
      <c r="AL152" s="164"/>
      <c r="AM152" s="164"/>
      <c r="AN152" s="164"/>
      <c r="AO152" s="164"/>
      <c r="AP152" s="164"/>
      <c r="AQ152" s="164"/>
      <c r="AR152" s="164"/>
      <c r="AS152" s="164"/>
      <c r="AT152" s="164"/>
      <c r="AU152" s="164"/>
      <c r="AV152" s="164"/>
      <c r="AW152" s="164"/>
      <c r="AX152" s="164"/>
      <c r="AY152" s="164"/>
      <c r="AZ152" s="164"/>
      <c r="BA152" s="164"/>
      <c r="BB152" s="164"/>
      <c r="BC152" s="164"/>
      <c r="BD152" s="164"/>
      <c r="BE152" s="164"/>
      <c r="BF152" s="164"/>
      <c r="BG152" s="164"/>
      <c r="BH152" s="164"/>
      <c r="BI152" s="164"/>
    </row>
    <row r="153" ht="15.75" customHeight="1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  <c r="AD153" s="164"/>
      <c r="AE153" s="164"/>
      <c r="AF153" s="164"/>
      <c r="AG153" s="164"/>
      <c r="AH153" s="164"/>
      <c r="AI153" s="164"/>
      <c r="AJ153" s="164"/>
      <c r="AK153" s="164"/>
      <c r="AL153" s="164"/>
      <c r="AM153" s="164"/>
      <c r="AN153" s="164"/>
      <c r="AO153" s="164"/>
      <c r="AP153" s="164"/>
      <c r="AQ153" s="164"/>
      <c r="AR153" s="164"/>
      <c r="AS153" s="164"/>
      <c r="AT153" s="164"/>
      <c r="AU153" s="164"/>
      <c r="AV153" s="164"/>
      <c r="AW153" s="164"/>
      <c r="AX153" s="164"/>
      <c r="AY153" s="164"/>
      <c r="AZ153" s="164"/>
      <c r="BA153" s="164"/>
      <c r="BB153" s="164"/>
      <c r="BC153" s="164"/>
      <c r="BD153" s="164"/>
      <c r="BE153" s="164"/>
      <c r="BF153" s="164"/>
      <c r="BG153" s="164"/>
      <c r="BH153" s="164"/>
      <c r="BI153" s="164"/>
    </row>
    <row r="154" ht="15.75" customHeight="1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  <c r="AD154" s="164"/>
      <c r="AE154" s="164"/>
      <c r="AF154" s="164"/>
      <c r="AG154" s="164"/>
      <c r="AH154" s="164"/>
      <c r="AI154" s="164"/>
      <c r="AJ154" s="164"/>
      <c r="AK154" s="164"/>
      <c r="AL154" s="164"/>
      <c r="AM154" s="164"/>
      <c r="AN154" s="164"/>
      <c r="AO154" s="164"/>
      <c r="AP154" s="164"/>
      <c r="AQ154" s="164"/>
      <c r="AR154" s="164"/>
      <c r="AS154" s="164"/>
      <c r="AT154" s="164"/>
      <c r="AU154" s="164"/>
      <c r="AV154" s="164"/>
      <c r="AW154" s="164"/>
      <c r="AX154" s="164"/>
      <c r="AY154" s="164"/>
      <c r="AZ154" s="164"/>
      <c r="BA154" s="164"/>
      <c r="BB154" s="164"/>
      <c r="BC154" s="164"/>
      <c r="BD154" s="164"/>
      <c r="BE154" s="164"/>
      <c r="BF154" s="164"/>
      <c r="BG154" s="164"/>
      <c r="BH154" s="164"/>
      <c r="BI154" s="164"/>
    </row>
    <row r="155" ht="15.75" customHeight="1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  <c r="AD155" s="164"/>
      <c r="AE155" s="164"/>
      <c r="AF155" s="164"/>
      <c r="AG155" s="164"/>
      <c r="AH155" s="164"/>
      <c r="AI155" s="164"/>
      <c r="AJ155" s="164"/>
      <c r="AK155" s="164"/>
      <c r="AL155" s="164"/>
      <c r="AM155" s="164"/>
      <c r="AN155" s="164"/>
      <c r="AO155" s="164"/>
      <c r="AP155" s="164"/>
      <c r="AQ155" s="164"/>
      <c r="AR155" s="164"/>
      <c r="AS155" s="164"/>
      <c r="AT155" s="164"/>
      <c r="AU155" s="164"/>
      <c r="AV155" s="164"/>
      <c r="AW155" s="164"/>
      <c r="AX155" s="164"/>
      <c r="AY155" s="164"/>
      <c r="AZ155" s="164"/>
      <c r="BA155" s="164"/>
      <c r="BB155" s="164"/>
      <c r="BC155" s="164"/>
      <c r="BD155" s="164"/>
      <c r="BE155" s="164"/>
      <c r="BF155" s="164"/>
      <c r="BG155" s="164"/>
      <c r="BH155" s="164"/>
      <c r="BI155" s="164"/>
    </row>
    <row r="156" ht="15.75" customHeight="1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  <c r="AD156" s="164"/>
      <c r="AE156" s="164"/>
      <c r="AF156" s="164"/>
      <c r="AG156" s="164"/>
      <c r="AH156" s="164"/>
      <c r="AI156" s="164"/>
      <c r="AJ156" s="164"/>
      <c r="AK156" s="164"/>
      <c r="AL156" s="164"/>
      <c r="AM156" s="164"/>
      <c r="AN156" s="164"/>
      <c r="AO156" s="164"/>
      <c r="AP156" s="164"/>
      <c r="AQ156" s="164"/>
      <c r="AR156" s="164"/>
      <c r="AS156" s="164"/>
      <c r="AT156" s="164"/>
      <c r="AU156" s="164"/>
      <c r="AV156" s="164"/>
      <c r="AW156" s="164"/>
      <c r="AX156" s="164"/>
      <c r="AY156" s="164"/>
      <c r="AZ156" s="164"/>
      <c r="BA156" s="164"/>
      <c r="BB156" s="164"/>
      <c r="BC156" s="164"/>
      <c r="BD156" s="164"/>
      <c r="BE156" s="164"/>
      <c r="BF156" s="164"/>
      <c r="BG156" s="164"/>
      <c r="BH156" s="164"/>
      <c r="BI156" s="164"/>
    </row>
    <row r="157" ht="15.75" customHeight="1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  <c r="AD157" s="164"/>
      <c r="AE157" s="164"/>
      <c r="AF157" s="164"/>
      <c r="AG157" s="164"/>
      <c r="AH157" s="164"/>
      <c r="AI157" s="164"/>
      <c r="AJ157" s="164"/>
      <c r="AK157" s="164"/>
      <c r="AL157" s="164"/>
      <c r="AM157" s="164"/>
      <c r="AN157" s="164"/>
      <c r="AO157" s="164"/>
      <c r="AP157" s="164"/>
      <c r="AQ157" s="164"/>
      <c r="AR157" s="164"/>
      <c r="AS157" s="164"/>
      <c r="AT157" s="164"/>
      <c r="AU157" s="164"/>
      <c r="AV157" s="164"/>
      <c r="AW157" s="164"/>
      <c r="AX157" s="164"/>
      <c r="AY157" s="164"/>
      <c r="AZ157" s="164"/>
      <c r="BA157" s="164"/>
      <c r="BB157" s="164"/>
      <c r="BC157" s="164"/>
      <c r="BD157" s="164"/>
      <c r="BE157" s="164"/>
      <c r="BF157" s="164"/>
      <c r="BG157" s="164"/>
      <c r="BH157" s="164"/>
      <c r="BI157" s="164"/>
    </row>
    <row r="158" ht="15.75" customHeight="1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  <c r="AD158" s="164"/>
      <c r="AE158" s="164"/>
      <c r="AF158" s="164"/>
      <c r="AG158" s="164"/>
      <c r="AH158" s="164"/>
      <c r="AI158" s="164"/>
      <c r="AJ158" s="164"/>
      <c r="AK158" s="164"/>
      <c r="AL158" s="164"/>
      <c r="AM158" s="164"/>
      <c r="AN158" s="164"/>
      <c r="AO158" s="164"/>
      <c r="AP158" s="164"/>
      <c r="AQ158" s="164"/>
      <c r="AR158" s="164"/>
      <c r="AS158" s="164"/>
      <c r="AT158" s="164"/>
      <c r="AU158" s="164"/>
      <c r="AV158" s="164"/>
      <c r="AW158" s="164"/>
      <c r="AX158" s="164"/>
      <c r="AY158" s="164"/>
      <c r="AZ158" s="164"/>
      <c r="BA158" s="164"/>
      <c r="BB158" s="164"/>
      <c r="BC158" s="164"/>
      <c r="BD158" s="164"/>
      <c r="BE158" s="164"/>
      <c r="BF158" s="164"/>
      <c r="BG158" s="164"/>
      <c r="BH158" s="164"/>
      <c r="BI158" s="164"/>
    </row>
    <row r="159" ht="15.75" customHeight="1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  <c r="AD159" s="164"/>
      <c r="AE159" s="164"/>
      <c r="AF159" s="164"/>
      <c r="AG159" s="164"/>
      <c r="AH159" s="164"/>
      <c r="AI159" s="164"/>
      <c r="AJ159" s="164"/>
      <c r="AK159" s="164"/>
      <c r="AL159" s="164"/>
      <c r="AM159" s="164"/>
      <c r="AN159" s="164"/>
      <c r="AO159" s="164"/>
      <c r="AP159" s="164"/>
      <c r="AQ159" s="164"/>
      <c r="AR159" s="164"/>
      <c r="AS159" s="164"/>
      <c r="AT159" s="164"/>
      <c r="AU159" s="164"/>
      <c r="AV159" s="164"/>
      <c r="AW159" s="164"/>
      <c r="AX159" s="164"/>
      <c r="AY159" s="164"/>
      <c r="AZ159" s="164"/>
      <c r="BA159" s="164"/>
      <c r="BB159" s="164"/>
      <c r="BC159" s="164"/>
      <c r="BD159" s="164"/>
      <c r="BE159" s="164"/>
      <c r="BF159" s="164"/>
      <c r="BG159" s="164"/>
      <c r="BH159" s="164"/>
      <c r="BI159" s="164"/>
    </row>
    <row r="160" ht="15.75" customHeight="1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  <c r="AD160" s="164"/>
      <c r="AE160" s="164"/>
      <c r="AF160" s="164"/>
      <c r="AG160" s="164"/>
      <c r="AH160" s="164"/>
      <c r="AI160" s="164"/>
      <c r="AJ160" s="164"/>
      <c r="AK160" s="164"/>
      <c r="AL160" s="164"/>
      <c r="AM160" s="164"/>
      <c r="AN160" s="164"/>
      <c r="AO160" s="164"/>
      <c r="AP160" s="164"/>
      <c r="AQ160" s="164"/>
      <c r="AR160" s="164"/>
      <c r="AS160" s="164"/>
      <c r="AT160" s="164"/>
      <c r="AU160" s="164"/>
      <c r="AV160" s="164"/>
      <c r="AW160" s="164"/>
      <c r="AX160" s="164"/>
      <c r="AY160" s="164"/>
      <c r="AZ160" s="164"/>
      <c r="BA160" s="164"/>
      <c r="BB160" s="164"/>
      <c r="BC160" s="164"/>
      <c r="BD160" s="164"/>
      <c r="BE160" s="164"/>
      <c r="BF160" s="164"/>
      <c r="BG160" s="164"/>
      <c r="BH160" s="164"/>
      <c r="BI160" s="164"/>
    </row>
    <row r="161" ht="15.75" customHeight="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  <c r="AD161" s="164"/>
      <c r="AE161" s="164"/>
      <c r="AF161" s="164"/>
      <c r="AG161" s="164"/>
      <c r="AH161" s="164"/>
      <c r="AI161" s="164"/>
      <c r="AJ161" s="164"/>
      <c r="AK161" s="164"/>
      <c r="AL161" s="164"/>
      <c r="AM161" s="164"/>
      <c r="AN161" s="164"/>
      <c r="AO161" s="164"/>
      <c r="AP161" s="164"/>
      <c r="AQ161" s="164"/>
      <c r="AR161" s="164"/>
      <c r="AS161" s="164"/>
      <c r="AT161" s="164"/>
      <c r="AU161" s="164"/>
      <c r="AV161" s="164"/>
      <c r="AW161" s="164"/>
      <c r="AX161" s="164"/>
      <c r="AY161" s="164"/>
      <c r="AZ161" s="164"/>
      <c r="BA161" s="164"/>
      <c r="BB161" s="164"/>
      <c r="BC161" s="164"/>
      <c r="BD161" s="164"/>
      <c r="BE161" s="164"/>
      <c r="BF161" s="164"/>
      <c r="BG161" s="164"/>
      <c r="BH161" s="164"/>
      <c r="BI161" s="164"/>
    </row>
    <row r="162" ht="15.75" customHeight="1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  <c r="AD162" s="164"/>
      <c r="AE162" s="164"/>
      <c r="AF162" s="164"/>
      <c r="AG162" s="164"/>
      <c r="AH162" s="164"/>
      <c r="AI162" s="164"/>
      <c r="AJ162" s="164"/>
      <c r="AK162" s="164"/>
      <c r="AL162" s="164"/>
      <c r="AM162" s="164"/>
      <c r="AN162" s="164"/>
      <c r="AO162" s="164"/>
      <c r="AP162" s="164"/>
      <c r="AQ162" s="164"/>
      <c r="AR162" s="164"/>
      <c r="AS162" s="164"/>
      <c r="AT162" s="164"/>
      <c r="AU162" s="164"/>
      <c r="AV162" s="164"/>
      <c r="AW162" s="164"/>
      <c r="AX162" s="164"/>
      <c r="AY162" s="164"/>
      <c r="AZ162" s="164"/>
      <c r="BA162" s="164"/>
      <c r="BB162" s="164"/>
      <c r="BC162" s="164"/>
      <c r="BD162" s="164"/>
      <c r="BE162" s="164"/>
      <c r="BF162" s="164"/>
      <c r="BG162" s="164"/>
      <c r="BH162" s="164"/>
      <c r="BI162" s="164"/>
    </row>
    <row r="163" ht="15.75" customHeight="1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  <c r="AE163" s="164"/>
      <c r="AF163" s="164"/>
      <c r="AG163" s="164"/>
      <c r="AH163" s="164"/>
      <c r="AI163" s="164"/>
      <c r="AJ163" s="164"/>
      <c r="AK163" s="164"/>
      <c r="AL163" s="164"/>
      <c r="AM163" s="164"/>
      <c r="AN163" s="164"/>
      <c r="AO163" s="164"/>
      <c r="AP163" s="164"/>
      <c r="AQ163" s="164"/>
      <c r="AR163" s="164"/>
      <c r="AS163" s="164"/>
      <c r="AT163" s="164"/>
      <c r="AU163" s="164"/>
      <c r="AV163" s="164"/>
      <c r="AW163" s="164"/>
      <c r="AX163" s="164"/>
      <c r="AY163" s="164"/>
      <c r="AZ163" s="164"/>
      <c r="BA163" s="164"/>
      <c r="BB163" s="164"/>
      <c r="BC163" s="164"/>
      <c r="BD163" s="164"/>
      <c r="BE163" s="164"/>
      <c r="BF163" s="164"/>
      <c r="BG163" s="164"/>
      <c r="BH163" s="164"/>
      <c r="BI163" s="164"/>
    </row>
    <row r="164" ht="15.75" customHeight="1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  <c r="AE164" s="164"/>
      <c r="AF164" s="164"/>
      <c r="AG164" s="164"/>
      <c r="AH164" s="164"/>
      <c r="AI164" s="164"/>
      <c r="AJ164" s="164"/>
      <c r="AK164" s="164"/>
      <c r="AL164" s="164"/>
      <c r="AM164" s="164"/>
      <c r="AN164" s="164"/>
      <c r="AO164" s="164"/>
      <c r="AP164" s="164"/>
      <c r="AQ164" s="164"/>
      <c r="AR164" s="164"/>
      <c r="AS164" s="164"/>
      <c r="AT164" s="164"/>
      <c r="AU164" s="164"/>
      <c r="AV164" s="164"/>
      <c r="AW164" s="164"/>
      <c r="AX164" s="164"/>
      <c r="AY164" s="164"/>
      <c r="AZ164" s="164"/>
      <c r="BA164" s="164"/>
      <c r="BB164" s="164"/>
      <c r="BC164" s="164"/>
      <c r="BD164" s="164"/>
      <c r="BE164" s="164"/>
      <c r="BF164" s="164"/>
      <c r="BG164" s="164"/>
      <c r="BH164" s="164"/>
      <c r="BI164" s="164"/>
    </row>
    <row r="165" ht="15.75" customHeight="1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  <c r="AD165" s="164"/>
      <c r="AE165" s="164"/>
      <c r="AF165" s="164"/>
      <c r="AG165" s="164"/>
      <c r="AH165" s="164"/>
      <c r="AI165" s="164"/>
      <c r="AJ165" s="164"/>
      <c r="AK165" s="164"/>
      <c r="AL165" s="164"/>
      <c r="AM165" s="164"/>
      <c r="AN165" s="164"/>
      <c r="AO165" s="164"/>
      <c r="AP165" s="164"/>
      <c r="AQ165" s="164"/>
      <c r="AR165" s="164"/>
      <c r="AS165" s="164"/>
      <c r="AT165" s="164"/>
      <c r="AU165" s="164"/>
      <c r="AV165" s="164"/>
      <c r="AW165" s="164"/>
      <c r="AX165" s="164"/>
      <c r="AY165" s="164"/>
      <c r="AZ165" s="164"/>
      <c r="BA165" s="164"/>
      <c r="BB165" s="164"/>
      <c r="BC165" s="164"/>
      <c r="BD165" s="164"/>
      <c r="BE165" s="164"/>
      <c r="BF165" s="164"/>
      <c r="BG165" s="164"/>
      <c r="BH165" s="164"/>
      <c r="BI165" s="164"/>
    </row>
    <row r="166" ht="15.75" customHeight="1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  <c r="AD166" s="164"/>
      <c r="AE166" s="164"/>
      <c r="AF166" s="164"/>
      <c r="AG166" s="164"/>
      <c r="AH166" s="164"/>
      <c r="AI166" s="164"/>
      <c r="AJ166" s="164"/>
      <c r="AK166" s="164"/>
      <c r="AL166" s="164"/>
      <c r="AM166" s="164"/>
      <c r="AN166" s="164"/>
      <c r="AO166" s="164"/>
      <c r="AP166" s="164"/>
      <c r="AQ166" s="164"/>
      <c r="AR166" s="164"/>
      <c r="AS166" s="164"/>
      <c r="AT166" s="164"/>
      <c r="AU166" s="164"/>
      <c r="AV166" s="164"/>
      <c r="AW166" s="164"/>
      <c r="AX166" s="164"/>
      <c r="AY166" s="164"/>
      <c r="AZ166" s="164"/>
      <c r="BA166" s="164"/>
      <c r="BB166" s="164"/>
      <c r="BC166" s="164"/>
      <c r="BD166" s="164"/>
      <c r="BE166" s="164"/>
      <c r="BF166" s="164"/>
      <c r="BG166" s="164"/>
      <c r="BH166" s="164"/>
      <c r="BI166" s="164"/>
    </row>
    <row r="167" ht="15.75" customHeight="1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64"/>
      <c r="AJ167" s="164"/>
      <c r="AK167" s="164"/>
      <c r="AL167" s="164"/>
      <c r="AM167" s="164"/>
      <c r="AN167" s="164"/>
      <c r="AO167" s="164"/>
      <c r="AP167" s="164"/>
      <c r="AQ167" s="164"/>
      <c r="AR167" s="164"/>
      <c r="AS167" s="164"/>
      <c r="AT167" s="164"/>
      <c r="AU167" s="164"/>
      <c r="AV167" s="164"/>
      <c r="AW167" s="164"/>
      <c r="AX167" s="164"/>
      <c r="AY167" s="164"/>
      <c r="AZ167" s="164"/>
      <c r="BA167" s="164"/>
      <c r="BB167" s="164"/>
      <c r="BC167" s="164"/>
      <c r="BD167" s="164"/>
      <c r="BE167" s="164"/>
      <c r="BF167" s="164"/>
      <c r="BG167" s="164"/>
      <c r="BH167" s="164"/>
      <c r="BI167" s="164"/>
    </row>
    <row r="168" ht="15.75" customHeight="1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  <c r="AG168" s="164"/>
      <c r="AH168" s="164"/>
      <c r="AI168" s="164"/>
      <c r="AJ168" s="164"/>
      <c r="AK168" s="164"/>
      <c r="AL168" s="164"/>
      <c r="AM168" s="164"/>
      <c r="AN168" s="164"/>
      <c r="AO168" s="164"/>
      <c r="AP168" s="164"/>
      <c r="AQ168" s="164"/>
      <c r="AR168" s="164"/>
      <c r="AS168" s="164"/>
      <c r="AT168" s="164"/>
      <c r="AU168" s="164"/>
      <c r="AV168" s="164"/>
      <c r="AW168" s="164"/>
      <c r="AX168" s="164"/>
      <c r="AY168" s="164"/>
      <c r="AZ168" s="164"/>
      <c r="BA168" s="164"/>
      <c r="BB168" s="164"/>
      <c r="BC168" s="164"/>
      <c r="BD168" s="164"/>
      <c r="BE168" s="164"/>
      <c r="BF168" s="164"/>
      <c r="BG168" s="164"/>
      <c r="BH168" s="164"/>
      <c r="BI168" s="164"/>
    </row>
    <row r="169" ht="15.75" customHeight="1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  <c r="AD169" s="164"/>
      <c r="AE169" s="164"/>
      <c r="AF169" s="164"/>
      <c r="AG169" s="164"/>
      <c r="AH169" s="164"/>
      <c r="AI169" s="164"/>
      <c r="AJ169" s="164"/>
      <c r="AK169" s="164"/>
      <c r="AL169" s="164"/>
      <c r="AM169" s="164"/>
      <c r="AN169" s="164"/>
      <c r="AO169" s="164"/>
      <c r="AP169" s="164"/>
      <c r="AQ169" s="164"/>
      <c r="AR169" s="164"/>
      <c r="AS169" s="164"/>
      <c r="AT169" s="164"/>
      <c r="AU169" s="164"/>
      <c r="AV169" s="164"/>
      <c r="AW169" s="164"/>
      <c r="AX169" s="164"/>
      <c r="AY169" s="164"/>
      <c r="AZ169" s="164"/>
      <c r="BA169" s="164"/>
      <c r="BB169" s="164"/>
      <c r="BC169" s="164"/>
      <c r="BD169" s="164"/>
      <c r="BE169" s="164"/>
      <c r="BF169" s="164"/>
      <c r="BG169" s="164"/>
      <c r="BH169" s="164"/>
      <c r="BI169" s="164"/>
    </row>
    <row r="170" ht="15.75" customHeight="1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  <c r="AC170" s="164"/>
      <c r="AD170" s="164"/>
      <c r="AE170" s="164"/>
      <c r="AF170" s="164"/>
      <c r="AG170" s="164"/>
      <c r="AH170" s="164"/>
      <c r="AI170" s="164"/>
      <c r="AJ170" s="164"/>
      <c r="AK170" s="164"/>
      <c r="AL170" s="164"/>
      <c r="AM170" s="164"/>
      <c r="AN170" s="164"/>
      <c r="AO170" s="164"/>
      <c r="AP170" s="164"/>
      <c r="AQ170" s="164"/>
      <c r="AR170" s="164"/>
      <c r="AS170" s="164"/>
      <c r="AT170" s="164"/>
      <c r="AU170" s="164"/>
      <c r="AV170" s="164"/>
      <c r="AW170" s="164"/>
      <c r="AX170" s="164"/>
      <c r="AY170" s="164"/>
      <c r="AZ170" s="164"/>
      <c r="BA170" s="164"/>
      <c r="BB170" s="164"/>
      <c r="BC170" s="164"/>
      <c r="BD170" s="164"/>
      <c r="BE170" s="164"/>
      <c r="BF170" s="164"/>
      <c r="BG170" s="164"/>
      <c r="BH170" s="164"/>
      <c r="BI170" s="164"/>
    </row>
    <row r="171" ht="15.75" customHeight="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  <c r="AK171" s="164"/>
      <c r="AL171" s="164"/>
      <c r="AM171" s="164"/>
      <c r="AN171" s="164"/>
      <c r="AO171" s="164"/>
      <c r="AP171" s="164"/>
      <c r="AQ171" s="164"/>
      <c r="AR171" s="164"/>
      <c r="AS171" s="164"/>
      <c r="AT171" s="164"/>
      <c r="AU171" s="164"/>
      <c r="AV171" s="164"/>
      <c r="AW171" s="164"/>
      <c r="AX171" s="164"/>
      <c r="AY171" s="164"/>
      <c r="AZ171" s="164"/>
      <c r="BA171" s="164"/>
      <c r="BB171" s="164"/>
      <c r="BC171" s="164"/>
      <c r="BD171" s="164"/>
      <c r="BE171" s="164"/>
      <c r="BF171" s="164"/>
      <c r="BG171" s="164"/>
      <c r="BH171" s="164"/>
      <c r="BI171" s="164"/>
    </row>
    <row r="172" ht="15.75" customHeight="1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  <c r="AD172" s="164"/>
      <c r="AE172" s="164"/>
      <c r="AF172" s="164"/>
      <c r="AG172" s="164"/>
      <c r="AH172" s="164"/>
      <c r="AI172" s="164"/>
      <c r="AJ172" s="164"/>
      <c r="AK172" s="164"/>
      <c r="AL172" s="164"/>
      <c r="AM172" s="164"/>
      <c r="AN172" s="164"/>
      <c r="AO172" s="164"/>
      <c r="AP172" s="164"/>
      <c r="AQ172" s="164"/>
      <c r="AR172" s="164"/>
      <c r="AS172" s="164"/>
      <c r="AT172" s="164"/>
      <c r="AU172" s="164"/>
      <c r="AV172" s="164"/>
      <c r="AW172" s="164"/>
      <c r="AX172" s="164"/>
      <c r="AY172" s="164"/>
      <c r="AZ172" s="164"/>
      <c r="BA172" s="164"/>
      <c r="BB172" s="164"/>
      <c r="BC172" s="164"/>
      <c r="BD172" s="164"/>
      <c r="BE172" s="164"/>
      <c r="BF172" s="164"/>
      <c r="BG172" s="164"/>
      <c r="BH172" s="164"/>
      <c r="BI172" s="164"/>
    </row>
    <row r="173" ht="15.75" customHeight="1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  <c r="AD173" s="164"/>
      <c r="AE173" s="164"/>
      <c r="AF173" s="164"/>
      <c r="AG173" s="164"/>
      <c r="AH173" s="164"/>
      <c r="AI173" s="164"/>
      <c r="AJ173" s="164"/>
      <c r="AK173" s="164"/>
      <c r="AL173" s="164"/>
      <c r="AM173" s="164"/>
      <c r="AN173" s="164"/>
      <c r="AO173" s="164"/>
      <c r="AP173" s="164"/>
      <c r="AQ173" s="164"/>
      <c r="AR173" s="164"/>
      <c r="AS173" s="164"/>
      <c r="AT173" s="164"/>
      <c r="AU173" s="164"/>
      <c r="AV173" s="164"/>
      <c r="AW173" s="164"/>
      <c r="AX173" s="164"/>
      <c r="AY173" s="164"/>
      <c r="AZ173" s="164"/>
      <c r="BA173" s="164"/>
      <c r="BB173" s="164"/>
      <c r="BC173" s="164"/>
      <c r="BD173" s="164"/>
      <c r="BE173" s="164"/>
      <c r="BF173" s="164"/>
      <c r="BG173" s="164"/>
      <c r="BH173" s="164"/>
      <c r="BI173" s="164"/>
    </row>
    <row r="174" ht="15.75" customHeight="1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  <c r="AD174" s="164"/>
      <c r="AE174" s="164"/>
      <c r="AF174" s="164"/>
      <c r="AG174" s="164"/>
      <c r="AH174" s="164"/>
      <c r="AI174" s="164"/>
      <c r="AJ174" s="164"/>
      <c r="AK174" s="164"/>
      <c r="AL174" s="164"/>
      <c r="AM174" s="164"/>
      <c r="AN174" s="164"/>
      <c r="AO174" s="164"/>
      <c r="AP174" s="164"/>
      <c r="AQ174" s="164"/>
      <c r="AR174" s="164"/>
      <c r="AS174" s="164"/>
      <c r="AT174" s="164"/>
      <c r="AU174" s="164"/>
      <c r="AV174" s="164"/>
      <c r="AW174" s="164"/>
      <c r="AX174" s="164"/>
      <c r="AY174" s="164"/>
      <c r="AZ174" s="164"/>
      <c r="BA174" s="164"/>
      <c r="BB174" s="164"/>
      <c r="BC174" s="164"/>
      <c r="BD174" s="164"/>
      <c r="BE174" s="164"/>
      <c r="BF174" s="164"/>
      <c r="BG174" s="164"/>
      <c r="BH174" s="164"/>
      <c r="BI174" s="164"/>
    </row>
    <row r="175" ht="15.75" customHeight="1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  <c r="AD175" s="164"/>
      <c r="AE175" s="164"/>
      <c r="AF175" s="164"/>
      <c r="AG175" s="164"/>
      <c r="AH175" s="164"/>
      <c r="AI175" s="164"/>
      <c r="AJ175" s="164"/>
      <c r="AK175" s="164"/>
      <c r="AL175" s="164"/>
      <c r="AM175" s="164"/>
      <c r="AN175" s="164"/>
      <c r="AO175" s="164"/>
      <c r="AP175" s="164"/>
      <c r="AQ175" s="164"/>
      <c r="AR175" s="164"/>
      <c r="AS175" s="164"/>
      <c r="AT175" s="164"/>
      <c r="AU175" s="164"/>
      <c r="AV175" s="164"/>
      <c r="AW175" s="164"/>
      <c r="AX175" s="164"/>
      <c r="AY175" s="164"/>
      <c r="AZ175" s="164"/>
      <c r="BA175" s="164"/>
      <c r="BB175" s="164"/>
      <c r="BC175" s="164"/>
      <c r="BD175" s="164"/>
      <c r="BE175" s="164"/>
      <c r="BF175" s="164"/>
      <c r="BG175" s="164"/>
      <c r="BH175" s="164"/>
      <c r="BI175" s="164"/>
    </row>
    <row r="176" ht="15.75" customHeight="1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  <c r="AE176" s="164"/>
      <c r="AF176" s="164"/>
      <c r="AG176" s="164"/>
      <c r="AH176" s="164"/>
      <c r="AI176" s="164"/>
      <c r="AJ176" s="164"/>
      <c r="AK176" s="164"/>
      <c r="AL176" s="164"/>
      <c r="AM176" s="164"/>
      <c r="AN176" s="164"/>
      <c r="AO176" s="164"/>
      <c r="AP176" s="164"/>
      <c r="AQ176" s="164"/>
      <c r="AR176" s="164"/>
      <c r="AS176" s="164"/>
      <c r="AT176" s="164"/>
      <c r="AU176" s="164"/>
      <c r="AV176" s="164"/>
      <c r="AW176" s="164"/>
      <c r="AX176" s="164"/>
      <c r="AY176" s="164"/>
      <c r="AZ176" s="164"/>
      <c r="BA176" s="164"/>
      <c r="BB176" s="164"/>
      <c r="BC176" s="164"/>
      <c r="BD176" s="164"/>
      <c r="BE176" s="164"/>
      <c r="BF176" s="164"/>
      <c r="BG176" s="164"/>
      <c r="BH176" s="164"/>
      <c r="BI176" s="164"/>
    </row>
    <row r="177" ht="15.75" customHeight="1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  <c r="AD177" s="164"/>
      <c r="AE177" s="164"/>
      <c r="AF177" s="164"/>
      <c r="AG177" s="164"/>
      <c r="AH177" s="164"/>
      <c r="AI177" s="164"/>
      <c r="AJ177" s="164"/>
      <c r="AK177" s="164"/>
      <c r="AL177" s="164"/>
      <c r="AM177" s="164"/>
      <c r="AN177" s="164"/>
      <c r="AO177" s="164"/>
      <c r="AP177" s="164"/>
      <c r="AQ177" s="164"/>
      <c r="AR177" s="164"/>
      <c r="AS177" s="164"/>
      <c r="AT177" s="164"/>
      <c r="AU177" s="164"/>
      <c r="AV177" s="164"/>
      <c r="AW177" s="164"/>
      <c r="AX177" s="164"/>
      <c r="AY177" s="164"/>
      <c r="AZ177" s="164"/>
      <c r="BA177" s="164"/>
      <c r="BB177" s="164"/>
      <c r="BC177" s="164"/>
      <c r="BD177" s="164"/>
      <c r="BE177" s="164"/>
      <c r="BF177" s="164"/>
      <c r="BG177" s="164"/>
      <c r="BH177" s="164"/>
      <c r="BI177" s="164"/>
    </row>
    <row r="178" ht="15.75" customHeight="1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  <c r="AD178" s="164"/>
      <c r="AE178" s="164"/>
      <c r="AF178" s="164"/>
      <c r="AG178" s="164"/>
      <c r="AH178" s="164"/>
      <c r="AI178" s="164"/>
      <c r="AJ178" s="164"/>
      <c r="AK178" s="164"/>
      <c r="AL178" s="164"/>
      <c r="AM178" s="164"/>
      <c r="AN178" s="164"/>
      <c r="AO178" s="164"/>
      <c r="AP178" s="164"/>
      <c r="AQ178" s="164"/>
      <c r="AR178" s="164"/>
      <c r="AS178" s="164"/>
      <c r="AT178" s="164"/>
      <c r="AU178" s="164"/>
      <c r="AV178" s="164"/>
      <c r="AW178" s="164"/>
      <c r="AX178" s="164"/>
      <c r="AY178" s="164"/>
      <c r="AZ178" s="164"/>
      <c r="BA178" s="164"/>
      <c r="BB178" s="164"/>
      <c r="BC178" s="164"/>
      <c r="BD178" s="164"/>
      <c r="BE178" s="164"/>
      <c r="BF178" s="164"/>
      <c r="BG178" s="164"/>
      <c r="BH178" s="164"/>
      <c r="BI178" s="164"/>
    </row>
    <row r="179" ht="15.75" customHeight="1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  <c r="AD179" s="164"/>
      <c r="AE179" s="164"/>
      <c r="AF179" s="164"/>
      <c r="AG179" s="164"/>
      <c r="AH179" s="164"/>
      <c r="AI179" s="164"/>
      <c r="AJ179" s="164"/>
      <c r="AK179" s="164"/>
      <c r="AL179" s="164"/>
      <c r="AM179" s="164"/>
      <c r="AN179" s="164"/>
      <c r="AO179" s="164"/>
      <c r="AP179" s="164"/>
      <c r="AQ179" s="164"/>
      <c r="AR179" s="164"/>
      <c r="AS179" s="164"/>
      <c r="AT179" s="164"/>
      <c r="AU179" s="164"/>
      <c r="AV179" s="164"/>
      <c r="AW179" s="164"/>
      <c r="AX179" s="164"/>
      <c r="AY179" s="164"/>
      <c r="AZ179" s="164"/>
      <c r="BA179" s="164"/>
      <c r="BB179" s="164"/>
      <c r="BC179" s="164"/>
      <c r="BD179" s="164"/>
      <c r="BE179" s="164"/>
      <c r="BF179" s="164"/>
      <c r="BG179" s="164"/>
      <c r="BH179" s="164"/>
      <c r="BI179" s="164"/>
    </row>
    <row r="180" ht="15.75" customHeight="1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  <c r="AD180" s="164"/>
      <c r="AE180" s="164"/>
      <c r="AF180" s="164"/>
      <c r="AG180" s="164"/>
      <c r="AH180" s="164"/>
      <c r="AI180" s="164"/>
      <c r="AJ180" s="164"/>
      <c r="AK180" s="164"/>
      <c r="AL180" s="164"/>
      <c r="AM180" s="164"/>
      <c r="AN180" s="164"/>
      <c r="AO180" s="164"/>
      <c r="AP180" s="164"/>
      <c r="AQ180" s="164"/>
      <c r="AR180" s="164"/>
      <c r="AS180" s="164"/>
      <c r="AT180" s="164"/>
      <c r="AU180" s="164"/>
      <c r="AV180" s="164"/>
      <c r="AW180" s="164"/>
      <c r="AX180" s="164"/>
      <c r="AY180" s="164"/>
      <c r="AZ180" s="164"/>
      <c r="BA180" s="164"/>
      <c r="BB180" s="164"/>
      <c r="BC180" s="164"/>
      <c r="BD180" s="164"/>
      <c r="BE180" s="164"/>
      <c r="BF180" s="164"/>
      <c r="BG180" s="164"/>
      <c r="BH180" s="164"/>
      <c r="BI180" s="164"/>
    </row>
    <row r="181" ht="15.75" customHeight="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  <c r="AD181" s="164"/>
      <c r="AE181" s="164"/>
      <c r="AF181" s="164"/>
      <c r="AG181" s="164"/>
      <c r="AH181" s="164"/>
      <c r="AI181" s="164"/>
      <c r="AJ181" s="164"/>
      <c r="AK181" s="164"/>
      <c r="AL181" s="164"/>
      <c r="AM181" s="164"/>
      <c r="AN181" s="164"/>
      <c r="AO181" s="164"/>
      <c r="AP181" s="164"/>
      <c r="AQ181" s="164"/>
      <c r="AR181" s="164"/>
      <c r="AS181" s="164"/>
      <c r="AT181" s="164"/>
      <c r="AU181" s="164"/>
      <c r="AV181" s="164"/>
      <c r="AW181" s="164"/>
      <c r="AX181" s="164"/>
      <c r="AY181" s="164"/>
      <c r="AZ181" s="164"/>
      <c r="BA181" s="164"/>
      <c r="BB181" s="164"/>
      <c r="BC181" s="164"/>
      <c r="BD181" s="164"/>
      <c r="BE181" s="164"/>
      <c r="BF181" s="164"/>
      <c r="BG181" s="164"/>
      <c r="BH181" s="164"/>
      <c r="BI181" s="164"/>
    </row>
    <row r="182" ht="15.75" customHeight="1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  <c r="AD182" s="164"/>
      <c r="AE182" s="164"/>
      <c r="AF182" s="164"/>
      <c r="AG182" s="164"/>
      <c r="AH182" s="164"/>
      <c r="AI182" s="164"/>
      <c r="AJ182" s="164"/>
      <c r="AK182" s="164"/>
      <c r="AL182" s="164"/>
      <c r="AM182" s="164"/>
      <c r="AN182" s="164"/>
      <c r="AO182" s="164"/>
      <c r="AP182" s="164"/>
      <c r="AQ182" s="164"/>
      <c r="AR182" s="164"/>
      <c r="AS182" s="164"/>
      <c r="AT182" s="164"/>
      <c r="AU182" s="164"/>
      <c r="AV182" s="164"/>
      <c r="AW182" s="164"/>
      <c r="AX182" s="164"/>
      <c r="AY182" s="164"/>
      <c r="AZ182" s="164"/>
      <c r="BA182" s="164"/>
      <c r="BB182" s="164"/>
      <c r="BC182" s="164"/>
      <c r="BD182" s="164"/>
      <c r="BE182" s="164"/>
      <c r="BF182" s="164"/>
      <c r="BG182" s="164"/>
      <c r="BH182" s="164"/>
      <c r="BI182" s="164"/>
    </row>
    <row r="183" ht="15.75" customHeight="1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  <c r="AD183" s="164"/>
      <c r="AE183" s="164"/>
      <c r="AF183" s="164"/>
      <c r="AG183" s="164"/>
      <c r="AH183" s="164"/>
      <c r="AI183" s="164"/>
      <c r="AJ183" s="164"/>
      <c r="AK183" s="164"/>
      <c r="AL183" s="164"/>
      <c r="AM183" s="164"/>
      <c r="AN183" s="164"/>
      <c r="AO183" s="164"/>
      <c r="AP183" s="164"/>
      <c r="AQ183" s="164"/>
      <c r="AR183" s="164"/>
      <c r="AS183" s="164"/>
      <c r="AT183" s="164"/>
      <c r="AU183" s="164"/>
      <c r="AV183" s="164"/>
      <c r="AW183" s="164"/>
      <c r="AX183" s="164"/>
      <c r="AY183" s="164"/>
      <c r="AZ183" s="164"/>
      <c r="BA183" s="164"/>
      <c r="BB183" s="164"/>
      <c r="BC183" s="164"/>
      <c r="BD183" s="164"/>
      <c r="BE183" s="164"/>
      <c r="BF183" s="164"/>
      <c r="BG183" s="164"/>
      <c r="BH183" s="164"/>
      <c r="BI183" s="164"/>
    </row>
    <row r="184" ht="15.75" customHeight="1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  <c r="AD184" s="164"/>
      <c r="AE184" s="164"/>
      <c r="AF184" s="164"/>
      <c r="AG184" s="164"/>
      <c r="AH184" s="164"/>
      <c r="AI184" s="164"/>
      <c r="AJ184" s="164"/>
      <c r="AK184" s="164"/>
      <c r="AL184" s="164"/>
      <c r="AM184" s="164"/>
      <c r="AN184" s="164"/>
      <c r="AO184" s="164"/>
      <c r="AP184" s="164"/>
      <c r="AQ184" s="164"/>
      <c r="AR184" s="164"/>
      <c r="AS184" s="164"/>
      <c r="AT184" s="164"/>
      <c r="AU184" s="164"/>
      <c r="AV184" s="164"/>
      <c r="AW184" s="164"/>
      <c r="AX184" s="164"/>
      <c r="AY184" s="164"/>
      <c r="AZ184" s="164"/>
      <c r="BA184" s="164"/>
      <c r="BB184" s="164"/>
      <c r="BC184" s="164"/>
      <c r="BD184" s="164"/>
      <c r="BE184" s="164"/>
      <c r="BF184" s="164"/>
      <c r="BG184" s="164"/>
      <c r="BH184" s="164"/>
      <c r="BI184" s="164"/>
    </row>
    <row r="185" ht="15.75" customHeight="1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  <c r="AG185" s="164"/>
      <c r="AH185" s="164"/>
      <c r="AI185" s="164"/>
      <c r="AJ185" s="164"/>
      <c r="AK185" s="164"/>
      <c r="AL185" s="164"/>
      <c r="AM185" s="164"/>
      <c r="AN185" s="164"/>
      <c r="AO185" s="164"/>
      <c r="AP185" s="164"/>
      <c r="AQ185" s="164"/>
      <c r="AR185" s="164"/>
      <c r="AS185" s="164"/>
      <c r="AT185" s="164"/>
      <c r="AU185" s="164"/>
      <c r="AV185" s="164"/>
      <c r="AW185" s="164"/>
      <c r="AX185" s="164"/>
      <c r="AY185" s="164"/>
      <c r="AZ185" s="164"/>
      <c r="BA185" s="164"/>
      <c r="BB185" s="164"/>
      <c r="BC185" s="164"/>
      <c r="BD185" s="164"/>
      <c r="BE185" s="164"/>
      <c r="BF185" s="164"/>
      <c r="BG185" s="164"/>
      <c r="BH185" s="164"/>
      <c r="BI185" s="164"/>
    </row>
    <row r="186" ht="15.75" customHeight="1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  <c r="AE186" s="164"/>
      <c r="AF186" s="164"/>
      <c r="AG186" s="164"/>
      <c r="AH186" s="164"/>
      <c r="AI186" s="164"/>
      <c r="AJ186" s="164"/>
      <c r="AK186" s="164"/>
      <c r="AL186" s="164"/>
      <c r="AM186" s="164"/>
      <c r="AN186" s="164"/>
      <c r="AO186" s="164"/>
      <c r="AP186" s="164"/>
      <c r="AQ186" s="164"/>
      <c r="AR186" s="164"/>
      <c r="AS186" s="164"/>
      <c r="AT186" s="164"/>
      <c r="AU186" s="164"/>
      <c r="AV186" s="164"/>
      <c r="AW186" s="164"/>
      <c r="AX186" s="164"/>
      <c r="AY186" s="164"/>
      <c r="AZ186" s="164"/>
      <c r="BA186" s="164"/>
      <c r="BB186" s="164"/>
      <c r="BC186" s="164"/>
      <c r="BD186" s="164"/>
      <c r="BE186" s="164"/>
      <c r="BF186" s="164"/>
      <c r="BG186" s="164"/>
      <c r="BH186" s="164"/>
      <c r="BI186" s="164"/>
    </row>
    <row r="187" ht="15.75" customHeight="1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  <c r="AD187" s="164"/>
      <c r="AE187" s="164"/>
      <c r="AF187" s="164"/>
      <c r="AG187" s="164"/>
      <c r="AH187" s="164"/>
      <c r="AI187" s="164"/>
      <c r="AJ187" s="164"/>
      <c r="AK187" s="164"/>
      <c r="AL187" s="164"/>
      <c r="AM187" s="164"/>
      <c r="AN187" s="164"/>
      <c r="AO187" s="164"/>
      <c r="AP187" s="164"/>
      <c r="AQ187" s="164"/>
      <c r="AR187" s="164"/>
      <c r="AS187" s="164"/>
      <c r="AT187" s="164"/>
      <c r="AU187" s="164"/>
      <c r="AV187" s="164"/>
      <c r="AW187" s="164"/>
      <c r="AX187" s="164"/>
      <c r="AY187" s="164"/>
      <c r="AZ187" s="164"/>
      <c r="BA187" s="164"/>
      <c r="BB187" s="164"/>
      <c r="BC187" s="164"/>
      <c r="BD187" s="164"/>
      <c r="BE187" s="164"/>
      <c r="BF187" s="164"/>
      <c r="BG187" s="164"/>
      <c r="BH187" s="164"/>
      <c r="BI187" s="164"/>
    </row>
    <row r="188" ht="15.75" customHeight="1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  <c r="AD188" s="164"/>
      <c r="AE188" s="164"/>
      <c r="AF188" s="164"/>
      <c r="AG188" s="164"/>
      <c r="AH188" s="164"/>
      <c r="AI188" s="164"/>
      <c r="AJ188" s="164"/>
      <c r="AK188" s="164"/>
      <c r="AL188" s="164"/>
      <c r="AM188" s="164"/>
      <c r="AN188" s="164"/>
      <c r="AO188" s="164"/>
      <c r="AP188" s="164"/>
      <c r="AQ188" s="164"/>
      <c r="AR188" s="164"/>
      <c r="AS188" s="164"/>
      <c r="AT188" s="164"/>
      <c r="AU188" s="164"/>
      <c r="AV188" s="164"/>
      <c r="AW188" s="164"/>
      <c r="AX188" s="164"/>
      <c r="AY188" s="164"/>
      <c r="AZ188" s="164"/>
      <c r="BA188" s="164"/>
      <c r="BB188" s="164"/>
      <c r="BC188" s="164"/>
      <c r="BD188" s="164"/>
      <c r="BE188" s="164"/>
      <c r="BF188" s="164"/>
      <c r="BG188" s="164"/>
      <c r="BH188" s="164"/>
      <c r="BI188" s="164"/>
    </row>
    <row r="189" ht="15.75" customHeight="1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  <c r="AD189" s="164"/>
      <c r="AE189" s="164"/>
      <c r="AF189" s="164"/>
      <c r="AG189" s="164"/>
      <c r="AH189" s="164"/>
      <c r="AI189" s="164"/>
      <c r="AJ189" s="164"/>
      <c r="AK189" s="164"/>
      <c r="AL189" s="164"/>
      <c r="AM189" s="164"/>
      <c r="AN189" s="164"/>
      <c r="AO189" s="164"/>
      <c r="AP189" s="164"/>
      <c r="AQ189" s="164"/>
      <c r="AR189" s="164"/>
      <c r="AS189" s="164"/>
      <c r="AT189" s="164"/>
      <c r="AU189" s="164"/>
      <c r="AV189" s="164"/>
      <c r="AW189" s="164"/>
      <c r="AX189" s="164"/>
      <c r="AY189" s="164"/>
      <c r="AZ189" s="164"/>
      <c r="BA189" s="164"/>
      <c r="BB189" s="164"/>
      <c r="BC189" s="164"/>
      <c r="BD189" s="164"/>
      <c r="BE189" s="164"/>
      <c r="BF189" s="164"/>
      <c r="BG189" s="164"/>
      <c r="BH189" s="164"/>
      <c r="BI189" s="164"/>
    </row>
    <row r="190" ht="15.75" customHeight="1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  <c r="AD190" s="164"/>
      <c r="AE190" s="164"/>
      <c r="AF190" s="164"/>
      <c r="AG190" s="164"/>
      <c r="AH190" s="164"/>
      <c r="AI190" s="164"/>
      <c r="AJ190" s="164"/>
      <c r="AK190" s="164"/>
      <c r="AL190" s="164"/>
      <c r="AM190" s="164"/>
      <c r="AN190" s="164"/>
      <c r="AO190" s="164"/>
      <c r="AP190" s="164"/>
      <c r="AQ190" s="164"/>
      <c r="AR190" s="164"/>
      <c r="AS190" s="164"/>
      <c r="AT190" s="164"/>
      <c r="AU190" s="164"/>
      <c r="AV190" s="164"/>
      <c r="AW190" s="164"/>
      <c r="AX190" s="164"/>
      <c r="AY190" s="164"/>
      <c r="AZ190" s="164"/>
      <c r="BA190" s="164"/>
      <c r="BB190" s="164"/>
      <c r="BC190" s="164"/>
      <c r="BD190" s="164"/>
      <c r="BE190" s="164"/>
      <c r="BF190" s="164"/>
      <c r="BG190" s="164"/>
      <c r="BH190" s="164"/>
      <c r="BI190" s="164"/>
    </row>
    <row r="191" ht="15.75" customHeight="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  <c r="AD191" s="164"/>
      <c r="AE191" s="164"/>
      <c r="AF191" s="164"/>
      <c r="AG191" s="164"/>
      <c r="AH191" s="164"/>
      <c r="AI191" s="164"/>
      <c r="AJ191" s="164"/>
      <c r="AK191" s="164"/>
      <c r="AL191" s="164"/>
      <c r="AM191" s="164"/>
      <c r="AN191" s="164"/>
      <c r="AO191" s="164"/>
      <c r="AP191" s="164"/>
      <c r="AQ191" s="164"/>
      <c r="AR191" s="164"/>
      <c r="AS191" s="164"/>
      <c r="AT191" s="164"/>
      <c r="AU191" s="164"/>
      <c r="AV191" s="164"/>
      <c r="AW191" s="164"/>
      <c r="AX191" s="164"/>
      <c r="AY191" s="164"/>
      <c r="AZ191" s="164"/>
      <c r="BA191" s="164"/>
      <c r="BB191" s="164"/>
      <c r="BC191" s="164"/>
      <c r="BD191" s="164"/>
      <c r="BE191" s="164"/>
      <c r="BF191" s="164"/>
      <c r="BG191" s="164"/>
      <c r="BH191" s="164"/>
      <c r="BI191" s="164"/>
    </row>
    <row r="192" ht="15.75" customHeight="1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  <c r="AD192" s="164"/>
      <c r="AE192" s="164"/>
      <c r="AF192" s="164"/>
      <c r="AG192" s="164"/>
      <c r="AH192" s="164"/>
      <c r="AI192" s="164"/>
      <c r="AJ192" s="164"/>
      <c r="AK192" s="164"/>
      <c r="AL192" s="164"/>
      <c r="AM192" s="164"/>
      <c r="AN192" s="164"/>
      <c r="AO192" s="164"/>
      <c r="AP192" s="164"/>
      <c r="AQ192" s="164"/>
      <c r="AR192" s="164"/>
      <c r="AS192" s="164"/>
      <c r="AT192" s="164"/>
      <c r="AU192" s="164"/>
      <c r="AV192" s="164"/>
      <c r="AW192" s="164"/>
      <c r="AX192" s="164"/>
      <c r="AY192" s="164"/>
      <c r="AZ192" s="164"/>
      <c r="BA192" s="164"/>
      <c r="BB192" s="164"/>
      <c r="BC192" s="164"/>
      <c r="BD192" s="164"/>
      <c r="BE192" s="164"/>
      <c r="BF192" s="164"/>
      <c r="BG192" s="164"/>
      <c r="BH192" s="164"/>
      <c r="BI192" s="164"/>
    </row>
    <row r="193" ht="15.75" customHeight="1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  <c r="AD193" s="164"/>
      <c r="AE193" s="164"/>
      <c r="AF193" s="164"/>
      <c r="AG193" s="164"/>
      <c r="AH193" s="164"/>
      <c r="AI193" s="164"/>
      <c r="AJ193" s="164"/>
      <c r="AK193" s="164"/>
      <c r="AL193" s="164"/>
      <c r="AM193" s="164"/>
      <c r="AN193" s="164"/>
      <c r="AO193" s="164"/>
      <c r="AP193" s="164"/>
      <c r="AQ193" s="164"/>
      <c r="AR193" s="164"/>
      <c r="AS193" s="164"/>
      <c r="AT193" s="164"/>
      <c r="AU193" s="164"/>
      <c r="AV193" s="164"/>
      <c r="AW193" s="164"/>
      <c r="AX193" s="164"/>
      <c r="AY193" s="164"/>
      <c r="AZ193" s="164"/>
      <c r="BA193" s="164"/>
      <c r="BB193" s="164"/>
      <c r="BC193" s="164"/>
      <c r="BD193" s="164"/>
      <c r="BE193" s="164"/>
      <c r="BF193" s="164"/>
      <c r="BG193" s="164"/>
      <c r="BH193" s="164"/>
      <c r="BI193" s="164"/>
    </row>
    <row r="194" ht="15.75" customHeight="1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  <c r="AD194" s="164"/>
      <c r="AE194" s="164"/>
      <c r="AF194" s="164"/>
      <c r="AG194" s="164"/>
      <c r="AH194" s="164"/>
      <c r="AI194" s="164"/>
      <c r="AJ194" s="164"/>
      <c r="AK194" s="164"/>
      <c r="AL194" s="164"/>
      <c r="AM194" s="164"/>
      <c r="AN194" s="164"/>
      <c r="AO194" s="164"/>
      <c r="AP194" s="164"/>
      <c r="AQ194" s="164"/>
      <c r="AR194" s="164"/>
      <c r="AS194" s="164"/>
      <c r="AT194" s="164"/>
      <c r="AU194" s="164"/>
      <c r="AV194" s="164"/>
      <c r="AW194" s="164"/>
      <c r="AX194" s="164"/>
      <c r="AY194" s="164"/>
      <c r="AZ194" s="164"/>
      <c r="BA194" s="164"/>
      <c r="BB194" s="164"/>
      <c r="BC194" s="164"/>
      <c r="BD194" s="164"/>
      <c r="BE194" s="164"/>
      <c r="BF194" s="164"/>
      <c r="BG194" s="164"/>
      <c r="BH194" s="164"/>
      <c r="BI194" s="164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  <c r="AD195" s="164"/>
      <c r="AE195" s="164"/>
      <c r="AF195" s="164"/>
      <c r="AG195" s="164"/>
      <c r="AH195" s="164"/>
      <c r="AI195" s="164"/>
      <c r="AJ195" s="164"/>
      <c r="AK195" s="164"/>
      <c r="AL195" s="164"/>
      <c r="AM195" s="164"/>
      <c r="AN195" s="164"/>
      <c r="AO195" s="164"/>
      <c r="AP195" s="164"/>
      <c r="AQ195" s="164"/>
      <c r="AR195" s="164"/>
      <c r="AS195" s="164"/>
      <c r="AT195" s="164"/>
      <c r="AU195" s="164"/>
      <c r="AV195" s="164"/>
      <c r="AW195" s="164"/>
      <c r="AX195" s="164"/>
      <c r="AY195" s="164"/>
      <c r="AZ195" s="164"/>
      <c r="BA195" s="164"/>
      <c r="BB195" s="164"/>
      <c r="BC195" s="164"/>
      <c r="BD195" s="164"/>
      <c r="BE195" s="164"/>
      <c r="BF195" s="164"/>
      <c r="BG195" s="164"/>
      <c r="BH195" s="164"/>
      <c r="BI195" s="164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  <c r="AD196" s="164"/>
      <c r="AE196" s="164"/>
      <c r="AF196" s="164"/>
      <c r="AG196" s="164"/>
      <c r="AH196" s="164"/>
      <c r="AI196" s="164"/>
      <c r="AJ196" s="164"/>
      <c r="AK196" s="164"/>
      <c r="AL196" s="164"/>
      <c r="AM196" s="164"/>
      <c r="AN196" s="164"/>
      <c r="AO196" s="164"/>
      <c r="AP196" s="164"/>
      <c r="AQ196" s="164"/>
      <c r="AR196" s="164"/>
      <c r="AS196" s="164"/>
      <c r="AT196" s="164"/>
      <c r="AU196" s="164"/>
      <c r="AV196" s="164"/>
      <c r="AW196" s="164"/>
      <c r="AX196" s="164"/>
      <c r="AY196" s="164"/>
      <c r="AZ196" s="164"/>
      <c r="BA196" s="164"/>
      <c r="BB196" s="164"/>
      <c r="BC196" s="164"/>
      <c r="BD196" s="164"/>
      <c r="BE196" s="164"/>
      <c r="BF196" s="164"/>
      <c r="BG196" s="164"/>
      <c r="BH196" s="164"/>
      <c r="BI196" s="164"/>
    </row>
    <row r="197" ht="15.75" customHeight="1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  <c r="AD197" s="164"/>
      <c r="AE197" s="164"/>
      <c r="AF197" s="164"/>
      <c r="AG197" s="164"/>
      <c r="AH197" s="164"/>
      <c r="AI197" s="164"/>
      <c r="AJ197" s="164"/>
      <c r="AK197" s="164"/>
      <c r="AL197" s="164"/>
      <c r="AM197" s="164"/>
      <c r="AN197" s="164"/>
      <c r="AO197" s="164"/>
      <c r="AP197" s="164"/>
      <c r="AQ197" s="164"/>
      <c r="AR197" s="164"/>
      <c r="AS197" s="164"/>
      <c r="AT197" s="164"/>
      <c r="AU197" s="164"/>
      <c r="AV197" s="164"/>
      <c r="AW197" s="164"/>
      <c r="AX197" s="164"/>
      <c r="AY197" s="164"/>
      <c r="AZ197" s="164"/>
      <c r="BA197" s="164"/>
      <c r="BB197" s="164"/>
      <c r="BC197" s="164"/>
      <c r="BD197" s="164"/>
      <c r="BE197" s="164"/>
      <c r="BF197" s="164"/>
      <c r="BG197" s="164"/>
      <c r="BH197" s="164"/>
      <c r="BI197" s="164"/>
    </row>
    <row r="198" ht="15.75" customHeight="1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  <c r="AD198" s="164"/>
      <c r="AE198" s="164"/>
      <c r="AF198" s="164"/>
      <c r="AG198" s="164"/>
      <c r="AH198" s="164"/>
      <c r="AI198" s="164"/>
      <c r="AJ198" s="164"/>
      <c r="AK198" s="164"/>
      <c r="AL198" s="164"/>
      <c r="AM198" s="164"/>
      <c r="AN198" s="164"/>
      <c r="AO198" s="164"/>
      <c r="AP198" s="164"/>
      <c r="AQ198" s="164"/>
      <c r="AR198" s="164"/>
      <c r="AS198" s="164"/>
      <c r="AT198" s="164"/>
      <c r="AU198" s="164"/>
      <c r="AV198" s="164"/>
      <c r="AW198" s="164"/>
      <c r="AX198" s="164"/>
      <c r="AY198" s="164"/>
      <c r="AZ198" s="164"/>
      <c r="BA198" s="164"/>
      <c r="BB198" s="164"/>
      <c r="BC198" s="164"/>
      <c r="BD198" s="164"/>
      <c r="BE198" s="164"/>
      <c r="BF198" s="164"/>
      <c r="BG198" s="164"/>
      <c r="BH198" s="164"/>
      <c r="BI198" s="164"/>
    </row>
    <row r="199" ht="15.75" customHeight="1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  <c r="AD199" s="164"/>
      <c r="AE199" s="164"/>
      <c r="AF199" s="164"/>
      <c r="AG199" s="164"/>
      <c r="AH199" s="164"/>
      <c r="AI199" s="164"/>
      <c r="AJ199" s="164"/>
      <c r="AK199" s="164"/>
      <c r="AL199" s="164"/>
      <c r="AM199" s="164"/>
      <c r="AN199" s="164"/>
      <c r="AO199" s="164"/>
      <c r="AP199" s="164"/>
      <c r="AQ199" s="164"/>
      <c r="AR199" s="164"/>
      <c r="AS199" s="164"/>
      <c r="AT199" s="164"/>
      <c r="AU199" s="164"/>
      <c r="AV199" s="164"/>
      <c r="AW199" s="164"/>
      <c r="AX199" s="164"/>
      <c r="AY199" s="164"/>
      <c r="AZ199" s="164"/>
      <c r="BA199" s="164"/>
      <c r="BB199" s="164"/>
      <c r="BC199" s="164"/>
      <c r="BD199" s="164"/>
      <c r="BE199" s="164"/>
      <c r="BF199" s="164"/>
      <c r="BG199" s="164"/>
      <c r="BH199" s="164"/>
      <c r="BI199" s="164"/>
    </row>
    <row r="200" ht="15.75" customHeight="1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  <c r="AO200" s="164"/>
      <c r="AP200" s="164"/>
      <c r="AQ200" s="164"/>
      <c r="AR200" s="164"/>
      <c r="AS200" s="164"/>
      <c r="AT200" s="164"/>
      <c r="AU200" s="164"/>
      <c r="AV200" s="164"/>
      <c r="AW200" s="164"/>
      <c r="AX200" s="164"/>
      <c r="AY200" s="164"/>
      <c r="AZ200" s="164"/>
      <c r="BA200" s="164"/>
      <c r="BB200" s="164"/>
      <c r="BC200" s="164"/>
      <c r="BD200" s="164"/>
      <c r="BE200" s="164"/>
      <c r="BF200" s="164"/>
      <c r="BG200" s="164"/>
      <c r="BH200" s="164"/>
      <c r="BI200" s="164"/>
    </row>
    <row r="201" ht="15.75" customHeight="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  <c r="AO201" s="164"/>
      <c r="AP201" s="164"/>
      <c r="AQ201" s="164"/>
      <c r="AR201" s="164"/>
      <c r="AS201" s="164"/>
      <c r="AT201" s="164"/>
      <c r="AU201" s="164"/>
      <c r="AV201" s="164"/>
      <c r="AW201" s="164"/>
      <c r="AX201" s="164"/>
      <c r="AY201" s="164"/>
      <c r="AZ201" s="164"/>
      <c r="BA201" s="164"/>
      <c r="BB201" s="164"/>
      <c r="BC201" s="164"/>
      <c r="BD201" s="164"/>
      <c r="BE201" s="164"/>
      <c r="BF201" s="164"/>
      <c r="BG201" s="164"/>
      <c r="BH201" s="164"/>
      <c r="BI201" s="164"/>
    </row>
    <row r="202" ht="15.75" customHeight="1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  <c r="AE202" s="164"/>
      <c r="AF202" s="164"/>
      <c r="AG202" s="164"/>
      <c r="AH202" s="164"/>
      <c r="AI202" s="164"/>
      <c r="AJ202" s="164"/>
      <c r="AK202" s="164"/>
      <c r="AL202" s="164"/>
      <c r="AM202" s="164"/>
      <c r="AN202" s="164"/>
      <c r="AO202" s="164"/>
      <c r="AP202" s="164"/>
      <c r="AQ202" s="164"/>
      <c r="AR202" s="164"/>
      <c r="AS202" s="164"/>
      <c r="AT202" s="164"/>
      <c r="AU202" s="164"/>
      <c r="AV202" s="164"/>
      <c r="AW202" s="164"/>
      <c r="AX202" s="164"/>
      <c r="AY202" s="164"/>
      <c r="AZ202" s="164"/>
      <c r="BA202" s="164"/>
      <c r="BB202" s="164"/>
      <c r="BC202" s="164"/>
      <c r="BD202" s="164"/>
      <c r="BE202" s="164"/>
      <c r="BF202" s="164"/>
      <c r="BG202" s="164"/>
      <c r="BH202" s="164"/>
      <c r="BI202" s="164"/>
    </row>
    <row r="203" ht="15.75" customHeight="1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  <c r="AE203" s="164"/>
      <c r="AF203" s="164"/>
      <c r="AG203" s="164"/>
      <c r="AH203" s="164"/>
      <c r="AI203" s="164"/>
      <c r="AJ203" s="164"/>
      <c r="AK203" s="164"/>
      <c r="AL203" s="164"/>
      <c r="AM203" s="164"/>
      <c r="AN203" s="164"/>
      <c r="AO203" s="164"/>
      <c r="AP203" s="164"/>
      <c r="AQ203" s="164"/>
      <c r="AR203" s="164"/>
      <c r="AS203" s="164"/>
      <c r="AT203" s="164"/>
      <c r="AU203" s="164"/>
      <c r="AV203" s="164"/>
      <c r="AW203" s="164"/>
      <c r="AX203" s="164"/>
      <c r="AY203" s="164"/>
      <c r="AZ203" s="164"/>
      <c r="BA203" s="164"/>
      <c r="BB203" s="164"/>
      <c r="BC203" s="164"/>
      <c r="BD203" s="164"/>
      <c r="BE203" s="164"/>
      <c r="BF203" s="164"/>
      <c r="BG203" s="164"/>
      <c r="BH203" s="164"/>
      <c r="BI203" s="164"/>
    </row>
    <row r="204" ht="15.75" customHeight="1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  <c r="AD204" s="164"/>
      <c r="AE204" s="164"/>
      <c r="AF204" s="164"/>
      <c r="AG204" s="164"/>
      <c r="AH204" s="164"/>
      <c r="AI204" s="164"/>
      <c r="AJ204" s="164"/>
      <c r="AK204" s="164"/>
      <c r="AL204" s="164"/>
      <c r="AM204" s="164"/>
      <c r="AN204" s="164"/>
      <c r="AO204" s="164"/>
      <c r="AP204" s="164"/>
      <c r="AQ204" s="164"/>
      <c r="AR204" s="164"/>
      <c r="AS204" s="164"/>
      <c r="AT204" s="164"/>
      <c r="AU204" s="164"/>
      <c r="AV204" s="164"/>
      <c r="AW204" s="164"/>
      <c r="AX204" s="164"/>
      <c r="AY204" s="164"/>
      <c r="AZ204" s="164"/>
      <c r="BA204" s="164"/>
      <c r="BB204" s="164"/>
      <c r="BC204" s="164"/>
      <c r="BD204" s="164"/>
      <c r="BE204" s="164"/>
      <c r="BF204" s="164"/>
      <c r="BG204" s="164"/>
      <c r="BH204" s="164"/>
      <c r="BI204" s="164"/>
    </row>
    <row r="205" ht="15.75" customHeight="1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  <c r="AG205" s="164"/>
      <c r="AH205" s="164"/>
      <c r="AI205" s="164"/>
      <c r="AJ205" s="164"/>
      <c r="AK205" s="164"/>
      <c r="AL205" s="164"/>
      <c r="AM205" s="164"/>
      <c r="AN205" s="164"/>
      <c r="AO205" s="164"/>
      <c r="AP205" s="164"/>
      <c r="AQ205" s="164"/>
      <c r="AR205" s="164"/>
      <c r="AS205" s="164"/>
      <c r="AT205" s="164"/>
      <c r="AU205" s="164"/>
      <c r="AV205" s="164"/>
      <c r="AW205" s="164"/>
      <c r="AX205" s="164"/>
      <c r="AY205" s="164"/>
      <c r="AZ205" s="164"/>
      <c r="BA205" s="164"/>
      <c r="BB205" s="164"/>
      <c r="BC205" s="164"/>
      <c r="BD205" s="164"/>
      <c r="BE205" s="164"/>
      <c r="BF205" s="164"/>
      <c r="BG205" s="164"/>
      <c r="BH205" s="164"/>
      <c r="BI205" s="164"/>
    </row>
    <row r="206" ht="15.75" customHeight="1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  <c r="AD206" s="164"/>
      <c r="AE206" s="164"/>
      <c r="AF206" s="164"/>
      <c r="AG206" s="164"/>
      <c r="AH206" s="164"/>
      <c r="AI206" s="164"/>
      <c r="AJ206" s="164"/>
      <c r="AK206" s="164"/>
      <c r="AL206" s="164"/>
      <c r="AM206" s="164"/>
      <c r="AN206" s="164"/>
      <c r="AO206" s="164"/>
      <c r="AP206" s="164"/>
      <c r="AQ206" s="164"/>
      <c r="AR206" s="164"/>
      <c r="AS206" s="164"/>
      <c r="AT206" s="164"/>
      <c r="AU206" s="164"/>
      <c r="AV206" s="164"/>
      <c r="AW206" s="164"/>
      <c r="AX206" s="164"/>
      <c r="AY206" s="164"/>
      <c r="AZ206" s="164"/>
      <c r="BA206" s="164"/>
      <c r="BB206" s="164"/>
      <c r="BC206" s="164"/>
      <c r="BD206" s="164"/>
      <c r="BE206" s="164"/>
      <c r="BF206" s="164"/>
      <c r="BG206" s="164"/>
      <c r="BH206" s="164"/>
      <c r="BI206" s="164"/>
    </row>
    <row r="207" ht="15.75" customHeight="1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  <c r="AD207" s="164"/>
      <c r="AE207" s="164"/>
      <c r="AF207" s="164"/>
      <c r="AG207" s="164"/>
      <c r="AH207" s="164"/>
      <c r="AI207" s="164"/>
      <c r="AJ207" s="164"/>
      <c r="AK207" s="164"/>
      <c r="AL207" s="164"/>
      <c r="AM207" s="164"/>
      <c r="AN207" s="164"/>
      <c r="AO207" s="164"/>
      <c r="AP207" s="164"/>
      <c r="AQ207" s="164"/>
      <c r="AR207" s="164"/>
      <c r="AS207" s="164"/>
      <c r="AT207" s="164"/>
      <c r="AU207" s="164"/>
      <c r="AV207" s="164"/>
      <c r="AW207" s="164"/>
      <c r="AX207" s="164"/>
      <c r="AY207" s="164"/>
      <c r="AZ207" s="164"/>
      <c r="BA207" s="164"/>
      <c r="BB207" s="164"/>
      <c r="BC207" s="164"/>
      <c r="BD207" s="164"/>
      <c r="BE207" s="164"/>
      <c r="BF207" s="164"/>
      <c r="BG207" s="164"/>
      <c r="BH207" s="164"/>
      <c r="BI207" s="164"/>
    </row>
    <row r="208" ht="15.75" customHeight="1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  <c r="AD208" s="164"/>
      <c r="AE208" s="164"/>
      <c r="AF208" s="164"/>
      <c r="AG208" s="164"/>
      <c r="AH208" s="164"/>
      <c r="AI208" s="164"/>
      <c r="AJ208" s="164"/>
      <c r="AK208" s="164"/>
      <c r="AL208" s="164"/>
      <c r="AM208" s="164"/>
      <c r="AN208" s="164"/>
      <c r="AO208" s="164"/>
      <c r="AP208" s="164"/>
      <c r="AQ208" s="164"/>
      <c r="AR208" s="164"/>
      <c r="AS208" s="164"/>
      <c r="AT208" s="164"/>
      <c r="AU208" s="164"/>
      <c r="AV208" s="164"/>
      <c r="AW208" s="164"/>
      <c r="AX208" s="164"/>
      <c r="AY208" s="164"/>
      <c r="AZ208" s="164"/>
      <c r="BA208" s="164"/>
      <c r="BB208" s="164"/>
      <c r="BC208" s="164"/>
      <c r="BD208" s="164"/>
      <c r="BE208" s="164"/>
      <c r="BF208" s="164"/>
      <c r="BG208" s="164"/>
      <c r="BH208" s="164"/>
      <c r="BI208" s="164"/>
    </row>
    <row r="209" ht="15.75" customHeight="1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  <c r="AK209" s="164"/>
      <c r="AL209" s="164"/>
      <c r="AM209" s="164"/>
      <c r="AN209" s="164"/>
      <c r="AO209" s="164"/>
      <c r="AP209" s="164"/>
      <c r="AQ209" s="164"/>
      <c r="AR209" s="164"/>
      <c r="AS209" s="164"/>
      <c r="AT209" s="164"/>
      <c r="AU209" s="164"/>
      <c r="AV209" s="164"/>
      <c r="AW209" s="164"/>
      <c r="AX209" s="164"/>
      <c r="AY209" s="164"/>
      <c r="AZ209" s="164"/>
      <c r="BA209" s="164"/>
      <c r="BB209" s="164"/>
      <c r="BC209" s="164"/>
      <c r="BD209" s="164"/>
      <c r="BE209" s="164"/>
      <c r="BF209" s="164"/>
      <c r="BG209" s="164"/>
      <c r="BH209" s="164"/>
      <c r="BI209" s="164"/>
    </row>
    <row r="210" ht="15.75" customHeight="1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  <c r="AE210" s="164"/>
      <c r="AF210" s="164"/>
      <c r="AG210" s="164"/>
      <c r="AH210" s="164"/>
      <c r="AI210" s="164"/>
      <c r="AJ210" s="164"/>
      <c r="AK210" s="164"/>
      <c r="AL210" s="164"/>
      <c r="AM210" s="164"/>
      <c r="AN210" s="164"/>
      <c r="AO210" s="164"/>
      <c r="AP210" s="164"/>
      <c r="AQ210" s="164"/>
      <c r="AR210" s="164"/>
      <c r="AS210" s="164"/>
      <c r="AT210" s="164"/>
      <c r="AU210" s="164"/>
      <c r="AV210" s="164"/>
      <c r="AW210" s="164"/>
      <c r="AX210" s="164"/>
      <c r="AY210" s="164"/>
      <c r="AZ210" s="164"/>
      <c r="BA210" s="164"/>
      <c r="BB210" s="164"/>
      <c r="BC210" s="164"/>
      <c r="BD210" s="164"/>
      <c r="BE210" s="164"/>
      <c r="BF210" s="164"/>
      <c r="BG210" s="164"/>
      <c r="BH210" s="164"/>
      <c r="BI210" s="164"/>
    </row>
    <row r="211" ht="15.75" customHeight="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  <c r="AD211" s="164"/>
      <c r="AE211" s="164"/>
      <c r="AF211" s="164"/>
      <c r="AG211" s="164"/>
      <c r="AH211" s="164"/>
      <c r="AI211" s="164"/>
      <c r="AJ211" s="164"/>
      <c r="AK211" s="164"/>
      <c r="AL211" s="164"/>
      <c r="AM211" s="164"/>
      <c r="AN211" s="164"/>
      <c r="AO211" s="164"/>
      <c r="AP211" s="164"/>
      <c r="AQ211" s="164"/>
      <c r="AR211" s="164"/>
      <c r="AS211" s="164"/>
      <c r="AT211" s="164"/>
      <c r="AU211" s="164"/>
      <c r="AV211" s="164"/>
      <c r="AW211" s="164"/>
      <c r="AX211" s="164"/>
      <c r="AY211" s="164"/>
      <c r="AZ211" s="164"/>
      <c r="BA211" s="164"/>
      <c r="BB211" s="164"/>
      <c r="BC211" s="164"/>
      <c r="BD211" s="164"/>
      <c r="BE211" s="164"/>
      <c r="BF211" s="164"/>
      <c r="BG211" s="164"/>
      <c r="BH211" s="164"/>
      <c r="BI211" s="164"/>
    </row>
    <row r="212" ht="15.75" customHeight="1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  <c r="AD212" s="164"/>
      <c r="AE212" s="164"/>
      <c r="AF212" s="164"/>
      <c r="AG212" s="164"/>
      <c r="AH212" s="164"/>
      <c r="AI212" s="164"/>
      <c r="AJ212" s="164"/>
      <c r="AK212" s="164"/>
      <c r="AL212" s="164"/>
      <c r="AM212" s="164"/>
      <c r="AN212" s="164"/>
      <c r="AO212" s="164"/>
      <c r="AP212" s="164"/>
      <c r="AQ212" s="164"/>
      <c r="AR212" s="164"/>
      <c r="AS212" s="164"/>
      <c r="AT212" s="164"/>
      <c r="AU212" s="164"/>
      <c r="AV212" s="164"/>
      <c r="AW212" s="164"/>
      <c r="AX212" s="164"/>
      <c r="AY212" s="164"/>
      <c r="AZ212" s="164"/>
      <c r="BA212" s="164"/>
      <c r="BB212" s="164"/>
      <c r="BC212" s="164"/>
      <c r="BD212" s="164"/>
      <c r="BE212" s="164"/>
      <c r="BF212" s="164"/>
      <c r="BG212" s="164"/>
      <c r="BH212" s="164"/>
      <c r="BI212" s="164"/>
    </row>
    <row r="213" ht="15.75" customHeight="1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  <c r="AD213" s="164"/>
      <c r="AE213" s="164"/>
      <c r="AF213" s="164"/>
      <c r="AG213" s="164"/>
      <c r="AH213" s="164"/>
      <c r="AI213" s="164"/>
      <c r="AJ213" s="164"/>
      <c r="AK213" s="164"/>
      <c r="AL213" s="164"/>
      <c r="AM213" s="164"/>
      <c r="AN213" s="164"/>
      <c r="AO213" s="164"/>
      <c r="AP213" s="164"/>
      <c r="AQ213" s="164"/>
      <c r="AR213" s="164"/>
      <c r="AS213" s="164"/>
      <c r="AT213" s="164"/>
      <c r="AU213" s="164"/>
      <c r="AV213" s="164"/>
      <c r="AW213" s="164"/>
      <c r="AX213" s="164"/>
      <c r="AY213" s="164"/>
      <c r="AZ213" s="164"/>
      <c r="BA213" s="164"/>
      <c r="BB213" s="164"/>
      <c r="BC213" s="164"/>
      <c r="BD213" s="164"/>
      <c r="BE213" s="164"/>
      <c r="BF213" s="164"/>
      <c r="BG213" s="164"/>
      <c r="BH213" s="164"/>
      <c r="BI213" s="164"/>
    </row>
    <row r="214" ht="15.75" customHeight="1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  <c r="AE214" s="164"/>
      <c r="AF214" s="164"/>
      <c r="AG214" s="164"/>
      <c r="AH214" s="164"/>
      <c r="AI214" s="164"/>
      <c r="AJ214" s="164"/>
      <c r="AK214" s="164"/>
      <c r="AL214" s="164"/>
      <c r="AM214" s="164"/>
      <c r="AN214" s="164"/>
      <c r="AO214" s="164"/>
      <c r="AP214" s="164"/>
      <c r="AQ214" s="164"/>
      <c r="AR214" s="164"/>
      <c r="AS214" s="164"/>
      <c r="AT214" s="164"/>
      <c r="AU214" s="164"/>
      <c r="AV214" s="164"/>
      <c r="AW214" s="164"/>
      <c r="AX214" s="164"/>
      <c r="AY214" s="164"/>
      <c r="AZ214" s="164"/>
      <c r="BA214" s="164"/>
      <c r="BB214" s="164"/>
      <c r="BC214" s="164"/>
      <c r="BD214" s="164"/>
      <c r="BE214" s="164"/>
      <c r="BF214" s="164"/>
      <c r="BG214" s="164"/>
      <c r="BH214" s="164"/>
      <c r="BI214" s="164"/>
    </row>
    <row r="215" ht="15.75" customHeight="1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  <c r="AD215" s="164"/>
      <c r="AE215" s="164"/>
      <c r="AF215" s="164"/>
      <c r="AG215" s="164"/>
      <c r="AH215" s="164"/>
      <c r="AI215" s="164"/>
      <c r="AJ215" s="164"/>
      <c r="AK215" s="164"/>
      <c r="AL215" s="164"/>
      <c r="AM215" s="164"/>
      <c r="AN215" s="164"/>
      <c r="AO215" s="164"/>
      <c r="AP215" s="164"/>
      <c r="AQ215" s="164"/>
      <c r="AR215" s="164"/>
      <c r="AS215" s="164"/>
      <c r="AT215" s="164"/>
      <c r="AU215" s="164"/>
      <c r="AV215" s="164"/>
      <c r="AW215" s="164"/>
      <c r="AX215" s="164"/>
      <c r="AY215" s="164"/>
      <c r="AZ215" s="164"/>
      <c r="BA215" s="164"/>
      <c r="BB215" s="164"/>
      <c r="BC215" s="164"/>
      <c r="BD215" s="164"/>
      <c r="BE215" s="164"/>
      <c r="BF215" s="164"/>
      <c r="BG215" s="164"/>
      <c r="BH215" s="164"/>
      <c r="BI215" s="164"/>
    </row>
    <row r="216" ht="15.75" customHeight="1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  <c r="AD216" s="164"/>
      <c r="AE216" s="164"/>
      <c r="AF216" s="164"/>
      <c r="AG216" s="164"/>
      <c r="AH216" s="164"/>
      <c r="AI216" s="164"/>
      <c r="AJ216" s="164"/>
      <c r="AK216" s="164"/>
      <c r="AL216" s="164"/>
      <c r="AM216" s="164"/>
      <c r="AN216" s="164"/>
      <c r="AO216" s="164"/>
      <c r="AP216" s="164"/>
      <c r="AQ216" s="164"/>
      <c r="AR216" s="164"/>
      <c r="AS216" s="164"/>
      <c r="AT216" s="164"/>
      <c r="AU216" s="164"/>
      <c r="AV216" s="164"/>
      <c r="AW216" s="164"/>
      <c r="AX216" s="164"/>
      <c r="AY216" s="164"/>
      <c r="AZ216" s="164"/>
      <c r="BA216" s="164"/>
      <c r="BB216" s="164"/>
      <c r="BC216" s="164"/>
      <c r="BD216" s="164"/>
      <c r="BE216" s="164"/>
      <c r="BF216" s="164"/>
      <c r="BG216" s="164"/>
      <c r="BH216" s="164"/>
      <c r="BI216" s="164"/>
    </row>
    <row r="217" ht="15.75" customHeight="1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  <c r="AD217" s="164"/>
      <c r="AE217" s="164"/>
      <c r="AF217" s="164"/>
      <c r="AG217" s="164"/>
      <c r="AH217" s="164"/>
      <c r="AI217" s="164"/>
      <c r="AJ217" s="164"/>
      <c r="AK217" s="164"/>
      <c r="AL217" s="164"/>
      <c r="AM217" s="164"/>
      <c r="AN217" s="164"/>
      <c r="AO217" s="164"/>
      <c r="AP217" s="164"/>
      <c r="AQ217" s="164"/>
      <c r="AR217" s="164"/>
      <c r="AS217" s="164"/>
      <c r="AT217" s="164"/>
      <c r="AU217" s="164"/>
      <c r="AV217" s="164"/>
      <c r="AW217" s="164"/>
      <c r="AX217" s="164"/>
      <c r="AY217" s="164"/>
      <c r="AZ217" s="164"/>
      <c r="BA217" s="164"/>
      <c r="BB217" s="164"/>
      <c r="BC217" s="164"/>
      <c r="BD217" s="164"/>
      <c r="BE217" s="164"/>
      <c r="BF217" s="164"/>
      <c r="BG217" s="164"/>
      <c r="BH217" s="164"/>
      <c r="BI217" s="164"/>
    </row>
    <row r="218" ht="15.75" customHeight="1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  <c r="AD218" s="164"/>
      <c r="AE218" s="164"/>
      <c r="AF218" s="164"/>
      <c r="AG218" s="164"/>
      <c r="AH218" s="164"/>
      <c r="AI218" s="164"/>
      <c r="AJ218" s="164"/>
      <c r="AK218" s="164"/>
      <c r="AL218" s="164"/>
      <c r="AM218" s="164"/>
      <c r="AN218" s="164"/>
      <c r="AO218" s="164"/>
      <c r="AP218" s="164"/>
      <c r="AQ218" s="164"/>
      <c r="AR218" s="164"/>
      <c r="AS218" s="164"/>
      <c r="AT218" s="164"/>
      <c r="AU218" s="164"/>
      <c r="AV218" s="164"/>
      <c r="AW218" s="164"/>
      <c r="AX218" s="164"/>
      <c r="AY218" s="164"/>
      <c r="AZ218" s="164"/>
      <c r="BA218" s="164"/>
      <c r="BB218" s="164"/>
      <c r="BC218" s="164"/>
      <c r="BD218" s="164"/>
      <c r="BE218" s="164"/>
      <c r="BF218" s="164"/>
      <c r="BG218" s="164"/>
      <c r="BH218" s="164"/>
      <c r="BI218" s="164"/>
    </row>
    <row r="219" ht="15.75" customHeight="1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  <c r="AD219" s="164"/>
      <c r="AE219" s="164"/>
      <c r="AF219" s="164"/>
      <c r="AG219" s="164"/>
      <c r="AH219" s="164"/>
      <c r="AI219" s="164"/>
      <c r="AJ219" s="164"/>
      <c r="AK219" s="164"/>
      <c r="AL219" s="164"/>
      <c r="AM219" s="164"/>
      <c r="AN219" s="164"/>
      <c r="AO219" s="164"/>
      <c r="AP219" s="164"/>
      <c r="AQ219" s="164"/>
      <c r="AR219" s="164"/>
      <c r="AS219" s="164"/>
      <c r="AT219" s="164"/>
      <c r="AU219" s="164"/>
      <c r="AV219" s="164"/>
      <c r="AW219" s="164"/>
      <c r="AX219" s="164"/>
      <c r="AY219" s="164"/>
      <c r="AZ219" s="164"/>
      <c r="BA219" s="164"/>
      <c r="BB219" s="164"/>
      <c r="BC219" s="164"/>
      <c r="BD219" s="164"/>
      <c r="BE219" s="164"/>
      <c r="BF219" s="164"/>
      <c r="BG219" s="164"/>
      <c r="BH219" s="164"/>
      <c r="BI219" s="164"/>
    </row>
    <row r="220" ht="15.75" customHeight="1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  <c r="AD220" s="164"/>
      <c r="AE220" s="164"/>
      <c r="AF220" s="164"/>
      <c r="AG220" s="164"/>
      <c r="AH220" s="164"/>
      <c r="AI220" s="164"/>
      <c r="AJ220" s="164"/>
      <c r="AK220" s="164"/>
      <c r="AL220" s="164"/>
      <c r="AM220" s="164"/>
      <c r="AN220" s="164"/>
      <c r="AO220" s="164"/>
      <c r="AP220" s="164"/>
      <c r="AQ220" s="164"/>
      <c r="AR220" s="164"/>
      <c r="AS220" s="164"/>
      <c r="AT220" s="164"/>
      <c r="AU220" s="164"/>
      <c r="AV220" s="164"/>
      <c r="AW220" s="164"/>
      <c r="AX220" s="164"/>
      <c r="AY220" s="164"/>
      <c r="AZ220" s="164"/>
      <c r="BA220" s="164"/>
      <c r="BB220" s="164"/>
      <c r="BC220" s="164"/>
      <c r="BD220" s="164"/>
      <c r="BE220" s="164"/>
      <c r="BF220" s="164"/>
      <c r="BG220" s="164"/>
      <c r="BH220" s="164"/>
      <c r="BI220" s="164"/>
    </row>
    <row r="221" ht="15.75" customHeight="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  <c r="AD221" s="164"/>
      <c r="AE221" s="164"/>
      <c r="AF221" s="164"/>
      <c r="AG221" s="164"/>
      <c r="AH221" s="164"/>
      <c r="AI221" s="164"/>
      <c r="AJ221" s="164"/>
      <c r="AK221" s="164"/>
      <c r="AL221" s="164"/>
      <c r="AM221" s="164"/>
      <c r="AN221" s="164"/>
      <c r="AO221" s="164"/>
      <c r="AP221" s="164"/>
      <c r="AQ221" s="164"/>
      <c r="AR221" s="164"/>
      <c r="AS221" s="164"/>
      <c r="AT221" s="164"/>
      <c r="AU221" s="164"/>
      <c r="AV221" s="164"/>
      <c r="AW221" s="164"/>
      <c r="AX221" s="164"/>
      <c r="AY221" s="164"/>
      <c r="AZ221" s="164"/>
      <c r="BA221" s="164"/>
      <c r="BB221" s="164"/>
      <c r="BC221" s="164"/>
      <c r="BD221" s="164"/>
      <c r="BE221" s="164"/>
      <c r="BF221" s="164"/>
      <c r="BG221" s="164"/>
      <c r="BH221" s="164"/>
      <c r="BI221" s="164"/>
    </row>
    <row r="222" ht="15.75" customHeight="1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  <c r="AE222" s="164"/>
      <c r="AF222" s="164"/>
      <c r="AG222" s="164"/>
      <c r="AH222" s="164"/>
      <c r="AI222" s="164"/>
      <c r="AJ222" s="164"/>
      <c r="AK222" s="164"/>
      <c r="AL222" s="164"/>
      <c r="AM222" s="164"/>
      <c r="AN222" s="164"/>
      <c r="AO222" s="164"/>
      <c r="AP222" s="164"/>
      <c r="AQ222" s="164"/>
      <c r="AR222" s="164"/>
      <c r="AS222" s="164"/>
      <c r="AT222" s="164"/>
      <c r="AU222" s="164"/>
      <c r="AV222" s="164"/>
      <c r="AW222" s="164"/>
      <c r="AX222" s="164"/>
      <c r="AY222" s="164"/>
      <c r="AZ222" s="164"/>
      <c r="BA222" s="164"/>
      <c r="BB222" s="164"/>
      <c r="BC222" s="164"/>
      <c r="BD222" s="164"/>
      <c r="BE222" s="164"/>
      <c r="BF222" s="164"/>
      <c r="BG222" s="164"/>
      <c r="BH222" s="164"/>
      <c r="BI222" s="164"/>
    </row>
    <row r="223" ht="15.75" customHeight="1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  <c r="AE223" s="164"/>
      <c r="AF223" s="164"/>
      <c r="AG223" s="164"/>
      <c r="AH223" s="164"/>
      <c r="AI223" s="164"/>
      <c r="AJ223" s="164"/>
      <c r="AK223" s="164"/>
      <c r="AL223" s="164"/>
      <c r="AM223" s="164"/>
      <c r="AN223" s="164"/>
      <c r="AO223" s="164"/>
      <c r="AP223" s="164"/>
      <c r="AQ223" s="164"/>
      <c r="AR223" s="164"/>
      <c r="AS223" s="164"/>
      <c r="AT223" s="164"/>
      <c r="AU223" s="164"/>
      <c r="AV223" s="164"/>
      <c r="AW223" s="164"/>
      <c r="AX223" s="164"/>
      <c r="AY223" s="164"/>
      <c r="AZ223" s="164"/>
      <c r="BA223" s="164"/>
      <c r="BB223" s="164"/>
      <c r="BC223" s="164"/>
      <c r="BD223" s="164"/>
      <c r="BE223" s="164"/>
      <c r="BF223" s="164"/>
      <c r="BG223" s="164"/>
      <c r="BH223" s="164"/>
      <c r="BI223" s="164"/>
    </row>
    <row r="224" ht="15.75" customHeight="1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  <c r="AE224" s="164"/>
      <c r="AF224" s="164"/>
      <c r="AG224" s="164"/>
      <c r="AH224" s="164"/>
      <c r="AI224" s="164"/>
      <c r="AJ224" s="164"/>
      <c r="AK224" s="164"/>
      <c r="AL224" s="164"/>
      <c r="AM224" s="164"/>
      <c r="AN224" s="164"/>
      <c r="AO224" s="164"/>
      <c r="AP224" s="164"/>
      <c r="AQ224" s="164"/>
      <c r="AR224" s="164"/>
      <c r="AS224" s="164"/>
      <c r="AT224" s="164"/>
      <c r="AU224" s="164"/>
      <c r="AV224" s="164"/>
      <c r="AW224" s="164"/>
      <c r="AX224" s="164"/>
      <c r="AY224" s="164"/>
      <c r="AZ224" s="164"/>
      <c r="BA224" s="164"/>
      <c r="BB224" s="164"/>
      <c r="BC224" s="164"/>
      <c r="BD224" s="164"/>
      <c r="BE224" s="164"/>
      <c r="BF224" s="164"/>
      <c r="BG224" s="164"/>
      <c r="BH224" s="164"/>
      <c r="BI224" s="164"/>
    </row>
    <row r="225" ht="15.75" customHeight="1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  <c r="AD225" s="164"/>
      <c r="AE225" s="164"/>
      <c r="AF225" s="164"/>
      <c r="AG225" s="164"/>
      <c r="AH225" s="164"/>
      <c r="AI225" s="164"/>
      <c r="AJ225" s="164"/>
      <c r="AK225" s="164"/>
      <c r="AL225" s="164"/>
      <c r="AM225" s="164"/>
      <c r="AN225" s="164"/>
      <c r="AO225" s="164"/>
      <c r="AP225" s="164"/>
      <c r="AQ225" s="164"/>
      <c r="AR225" s="164"/>
      <c r="AS225" s="164"/>
      <c r="AT225" s="164"/>
      <c r="AU225" s="164"/>
      <c r="AV225" s="164"/>
      <c r="AW225" s="164"/>
      <c r="AX225" s="164"/>
      <c r="AY225" s="164"/>
      <c r="AZ225" s="164"/>
      <c r="BA225" s="164"/>
      <c r="BB225" s="164"/>
      <c r="BC225" s="164"/>
      <c r="BD225" s="164"/>
      <c r="BE225" s="164"/>
      <c r="BF225" s="164"/>
      <c r="BG225" s="164"/>
      <c r="BH225" s="164"/>
      <c r="BI225" s="164"/>
    </row>
    <row r="226" ht="15.75" customHeight="1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  <c r="AD226" s="164"/>
      <c r="AE226" s="164"/>
      <c r="AF226" s="164"/>
      <c r="AG226" s="164"/>
      <c r="AH226" s="164"/>
      <c r="AI226" s="164"/>
      <c r="AJ226" s="164"/>
      <c r="AK226" s="164"/>
      <c r="AL226" s="164"/>
      <c r="AM226" s="164"/>
      <c r="AN226" s="164"/>
      <c r="AO226" s="164"/>
      <c r="AP226" s="164"/>
      <c r="AQ226" s="164"/>
      <c r="AR226" s="164"/>
      <c r="AS226" s="164"/>
      <c r="AT226" s="164"/>
      <c r="AU226" s="164"/>
      <c r="AV226" s="164"/>
      <c r="AW226" s="164"/>
      <c r="AX226" s="164"/>
      <c r="AY226" s="164"/>
      <c r="AZ226" s="164"/>
      <c r="BA226" s="164"/>
      <c r="BB226" s="164"/>
      <c r="BC226" s="164"/>
      <c r="BD226" s="164"/>
      <c r="BE226" s="164"/>
      <c r="BF226" s="164"/>
      <c r="BG226" s="164"/>
      <c r="BH226" s="164"/>
      <c r="BI226" s="164"/>
    </row>
    <row r="227" ht="15.75" customHeight="1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  <c r="AD227" s="164"/>
      <c r="AE227" s="164"/>
      <c r="AF227" s="164"/>
      <c r="AG227" s="164"/>
      <c r="AH227" s="164"/>
      <c r="AI227" s="164"/>
      <c r="AJ227" s="164"/>
      <c r="AK227" s="164"/>
      <c r="AL227" s="164"/>
      <c r="AM227" s="164"/>
      <c r="AN227" s="164"/>
      <c r="AO227" s="164"/>
      <c r="AP227" s="164"/>
      <c r="AQ227" s="164"/>
      <c r="AR227" s="164"/>
      <c r="AS227" s="164"/>
      <c r="AT227" s="164"/>
      <c r="AU227" s="164"/>
      <c r="AV227" s="164"/>
      <c r="AW227" s="164"/>
      <c r="AX227" s="164"/>
      <c r="AY227" s="164"/>
      <c r="AZ227" s="164"/>
      <c r="BA227" s="164"/>
      <c r="BB227" s="164"/>
      <c r="BC227" s="164"/>
      <c r="BD227" s="164"/>
      <c r="BE227" s="164"/>
      <c r="BF227" s="164"/>
      <c r="BG227" s="164"/>
      <c r="BH227" s="164"/>
      <c r="BI227" s="164"/>
    </row>
    <row r="228" ht="15.75" customHeight="1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  <c r="AE228" s="164"/>
      <c r="AF228" s="164"/>
      <c r="AG228" s="164"/>
      <c r="AH228" s="164"/>
      <c r="AI228" s="164"/>
      <c r="AJ228" s="164"/>
      <c r="AK228" s="164"/>
      <c r="AL228" s="164"/>
      <c r="AM228" s="164"/>
      <c r="AN228" s="164"/>
      <c r="AO228" s="164"/>
      <c r="AP228" s="164"/>
      <c r="AQ228" s="164"/>
      <c r="AR228" s="164"/>
      <c r="AS228" s="164"/>
      <c r="AT228" s="164"/>
      <c r="AU228" s="164"/>
      <c r="AV228" s="164"/>
      <c r="AW228" s="164"/>
      <c r="AX228" s="164"/>
      <c r="AY228" s="164"/>
      <c r="AZ228" s="164"/>
      <c r="BA228" s="164"/>
      <c r="BB228" s="164"/>
      <c r="BC228" s="164"/>
      <c r="BD228" s="164"/>
      <c r="BE228" s="164"/>
      <c r="BF228" s="164"/>
      <c r="BG228" s="164"/>
      <c r="BH228" s="164"/>
      <c r="BI228" s="164"/>
    </row>
    <row r="229" ht="15.75" customHeight="1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  <c r="AE229" s="164"/>
      <c r="AF229" s="164"/>
      <c r="AG229" s="164"/>
      <c r="AH229" s="164"/>
      <c r="AI229" s="164"/>
      <c r="AJ229" s="164"/>
      <c r="AK229" s="164"/>
      <c r="AL229" s="164"/>
      <c r="AM229" s="164"/>
      <c r="AN229" s="164"/>
      <c r="AO229" s="164"/>
      <c r="AP229" s="164"/>
      <c r="AQ229" s="164"/>
      <c r="AR229" s="164"/>
      <c r="AS229" s="164"/>
      <c r="AT229" s="164"/>
      <c r="AU229" s="164"/>
      <c r="AV229" s="164"/>
      <c r="AW229" s="164"/>
      <c r="AX229" s="164"/>
      <c r="AY229" s="164"/>
      <c r="AZ229" s="164"/>
      <c r="BA229" s="164"/>
      <c r="BB229" s="164"/>
      <c r="BC229" s="164"/>
      <c r="BD229" s="164"/>
      <c r="BE229" s="164"/>
      <c r="BF229" s="164"/>
      <c r="BG229" s="164"/>
      <c r="BH229" s="164"/>
      <c r="BI229" s="164"/>
    </row>
    <row r="230" ht="15.75" customHeight="1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  <c r="AD230" s="164"/>
      <c r="AE230" s="164"/>
      <c r="AF230" s="164"/>
      <c r="AG230" s="164"/>
      <c r="AH230" s="164"/>
      <c r="AI230" s="164"/>
      <c r="AJ230" s="164"/>
      <c r="AK230" s="164"/>
      <c r="AL230" s="164"/>
      <c r="AM230" s="164"/>
      <c r="AN230" s="164"/>
      <c r="AO230" s="164"/>
      <c r="AP230" s="164"/>
      <c r="AQ230" s="164"/>
      <c r="AR230" s="164"/>
      <c r="AS230" s="164"/>
      <c r="AT230" s="164"/>
      <c r="AU230" s="164"/>
      <c r="AV230" s="164"/>
      <c r="AW230" s="164"/>
      <c r="AX230" s="164"/>
      <c r="AY230" s="164"/>
      <c r="AZ230" s="164"/>
      <c r="BA230" s="164"/>
      <c r="BB230" s="164"/>
      <c r="BC230" s="164"/>
      <c r="BD230" s="164"/>
      <c r="BE230" s="164"/>
      <c r="BF230" s="164"/>
      <c r="BG230" s="164"/>
      <c r="BH230" s="164"/>
      <c r="BI230" s="164"/>
    </row>
    <row r="231" ht="15.75" customHeight="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  <c r="AD231" s="164"/>
      <c r="AE231" s="164"/>
      <c r="AF231" s="164"/>
      <c r="AG231" s="164"/>
      <c r="AH231" s="164"/>
      <c r="AI231" s="164"/>
      <c r="AJ231" s="164"/>
      <c r="AK231" s="164"/>
      <c r="AL231" s="164"/>
      <c r="AM231" s="164"/>
      <c r="AN231" s="164"/>
      <c r="AO231" s="164"/>
      <c r="AP231" s="164"/>
      <c r="AQ231" s="164"/>
      <c r="AR231" s="164"/>
      <c r="AS231" s="164"/>
      <c r="AT231" s="164"/>
      <c r="AU231" s="164"/>
      <c r="AV231" s="164"/>
      <c r="AW231" s="164"/>
      <c r="AX231" s="164"/>
      <c r="AY231" s="164"/>
      <c r="AZ231" s="164"/>
      <c r="BA231" s="164"/>
      <c r="BB231" s="164"/>
      <c r="BC231" s="164"/>
      <c r="BD231" s="164"/>
      <c r="BE231" s="164"/>
      <c r="BF231" s="164"/>
      <c r="BG231" s="164"/>
      <c r="BH231" s="164"/>
      <c r="BI231" s="164"/>
    </row>
    <row r="232" ht="15.75" customHeight="1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  <c r="AD232" s="164"/>
      <c r="AE232" s="164"/>
      <c r="AF232" s="164"/>
      <c r="AG232" s="164"/>
      <c r="AH232" s="164"/>
      <c r="AI232" s="164"/>
      <c r="AJ232" s="164"/>
      <c r="AK232" s="164"/>
      <c r="AL232" s="164"/>
      <c r="AM232" s="164"/>
      <c r="AN232" s="164"/>
      <c r="AO232" s="164"/>
      <c r="AP232" s="164"/>
      <c r="AQ232" s="164"/>
      <c r="AR232" s="164"/>
      <c r="AS232" s="164"/>
      <c r="AT232" s="164"/>
      <c r="AU232" s="164"/>
      <c r="AV232" s="164"/>
      <c r="AW232" s="164"/>
      <c r="AX232" s="164"/>
      <c r="AY232" s="164"/>
      <c r="AZ232" s="164"/>
      <c r="BA232" s="164"/>
      <c r="BB232" s="164"/>
      <c r="BC232" s="164"/>
      <c r="BD232" s="164"/>
      <c r="BE232" s="164"/>
      <c r="BF232" s="164"/>
      <c r="BG232" s="164"/>
      <c r="BH232" s="164"/>
      <c r="BI232" s="164"/>
    </row>
    <row r="233" ht="15.75" customHeight="1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  <c r="AD233" s="164"/>
      <c r="AE233" s="164"/>
      <c r="AF233" s="164"/>
      <c r="AG233" s="164"/>
      <c r="AH233" s="164"/>
      <c r="AI233" s="164"/>
      <c r="AJ233" s="164"/>
      <c r="AK233" s="164"/>
      <c r="AL233" s="164"/>
      <c r="AM233" s="164"/>
      <c r="AN233" s="164"/>
      <c r="AO233" s="164"/>
      <c r="AP233" s="164"/>
      <c r="AQ233" s="164"/>
      <c r="AR233" s="164"/>
      <c r="AS233" s="164"/>
      <c r="AT233" s="164"/>
      <c r="AU233" s="164"/>
      <c r="AV233" s="164"/>
      <c r="AW233" s="164"/>
      <c r="AX233" s="164"/>
      <c r="AY233" s="164"/>
      <c r="AZ233" s="164"/>
      <c r="BA233" s="164"/>
      <c r="BB233" s="164"/>
      <c r="BC233" s="164"/>
      <c r="BD233" s="164"/>
      <c r="BE233" s="164"/>
      <c r="BF233" s="164"/>
      <c r="BG233" s="164"/>
      <c r="BH233" s="164"/>
      <c r="BI233" s="164"/>
    </row>
    <row r="234" ht="15.75" customHeight="1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  <c r="AD234" s="164"/>
      <c r="AE234" s="164"/>
      <c r="AF234" s="164"/>
      <c r="AG234" s="164"/>
      <c r="AH234" s="164"/>
      <c r="AI234" s="164"/>
      <c r="AJ234" s="164"/>
      <c r="AK234" s="164"/>
      <c r="AL234" s="164"/>
      <c r="AM234" s="164"/>
      <c r="AN234" s="164"/>
      <c r="AO234" s="164"/>
      <c r="AP234" s="164"/>
      <c r="AQ234" s="164"/>
      <c r="AR234" s="164"/>
      <c r="AS234" s="164"/>
      <c r="AT234" s="164"/>
      <c r="AU234" s="164"/>
      <c r="AV234" s="164"/>
      <c r="AW234" s="164"/>
      <c r="AX234" s="164"/>
      <c r="AY234" s="164"/>
      <c r="AZ234" s="164"/>
      <c r="BA234" s="164"/>
      <c r="BB234" s="164"/>
      <c r="BC234" s="164"/>
      <c r="BD234" s="164"/>
      <c r="BE234" s="164"/>
      <c r="BF234" s="164"/>
      <c r="BG234" s="164"/>
      <c r="BH234" s="164"/>
      <c r="BI234" s="164"/>
    </row>
    <row r="235" ht="15.75" customHeight="1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  <c r="AD235" s="164"/>
      <c r="AE235" s="164"/>
      <c r="AF235" s="164"/>
      <c r="AG235" s="164"/>
      <c r="AH235" s="164"/>
      <c r="AI235" s="164"/>
      <c r="AJ235" s="164"/>
      <c r="AK235" s="164"/>
      <c r="AL235" s="164"/>
      <c r="AM235" s="164"/>
      <c r="AN235" s="164"/>
      <c r="AO235" s="164"/>
      <c r="AP235" s="164"/>
      <c r="AQ235" s="164"/>
      <c r="AR235" s="164"/>
      <c r="AS235" s="164"/>
      <c r="AT235" s="164"/>
      <c r="AU235" s="164"/>
      <c r="AV235" s="164"/>
      <c r="AW235" s="164"/>
      <c r="AX235" s="164"/>
      <c r="AY235" s="164"/>
      <c r="AZ235" s="164"/>
      <c r="BA235" s="164"/>
      <c r="BB235" s="164"/>
      <c r="BC235" s="164"/>
      <c r="BD235" s="164"/>
      <c r="BE235" s="164"/>
      <c r="BF235" s="164"/>
      <c r="BG235" s="164"/>
      <c r="BH235" s="164"/>
      <c r="BI235" s="164"/>
    </row>
    <row r="236" ht="15.75" customHeight="1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  <c r="AD236" s="164"/>
      <c r="AE236" s="164"/>
      <c r="AF236" s="164"/>
      <c r="AG236" s="164"/>
      <c r="AH236" s="164"/>
      <c r="AI236" s="164"/>
      <c r="AJ236" s="164"/>
      <c r="AK236" s="164"/>
      <c r="AL236" s="164"/>
      <c r="AM236" s="164"/>
      <c r="AN236" s="164"/>
      <c r="AO236" s="164"/>
      <c r="AP236" s="164"/>
      <c r="AQ236" s="164"/>
      <c r="AR236" s="164"/>
      <c r="AS236" s="164"/>
      <c r="AT236" s="164"/>
      <c r="AU236" s="164"/>
      <c r="AV236" s="164"/>
      <c r="AW236" s="164"/>
      <c r="AX236" s="164"/>
      <c r="AY236" s="164"/>
      <c r="AZ236" s="164"/>
      <c r="BA236" s="164"/>
      <c r="BB236" s="164"/>
      <c r="BC236" s="164"/>
      <c r="BD236" s="164"/>
      <c r="BE236" s="164"/>
      <c r="BF236" s="164"/>
      <c r="BG236" s="164"/>
      <c r="BH236" s="164"/>
      <c r="BI236" s="164"/>
    </row>
    <row r="237" ht="15.75" customHeight="1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  <c r="AD237" s="164"/>
      <c r="AE237" s="164"/>
      <c r="AF237" s="164"/>
      <c r="AG237" s="164"/>
      <c r="AH237" s="164"/>
      <c r="AI237" s="164"/>
      <c r="AJ237" s="164"/>
      <c r="AK237" s="164"/>
      <c r="AL237" s="164"/>
      <c r="AM237" s="164"/>
      <c r="AN237" s="164"/>
      <c r="AO237" s="164"/>
      <c r="AP237" s="164"/>
      <c r="AQ237" s="164"/>
      <c r="AR237" s="164"/>
      <c r="AS237" s="164"/>
      <c r="AT237" s="164"/>
      <c r="AU237" s="164"/>
      <c r="AV237" s="164"/>
      <c r="AW237" s="164"/>
      <c r="AX237" s="164"/>
      <c r="AY237" s="164"/>
      <c r="AZ237" s="164"/>
      <c r="BA237" s="164"/>
      <c r="BB237" s="164"/>
      <c r="BC237" s="164"/>
      <c r="BD237" s="164"/>
      <c r="BE237" s="164"/>
      <c r="BF237" s="164"/>
      <c r="BG237" s="164"/>
      <c r="BH237" s="164"/>
      <c r="BI237" s="164"/>
    </row>
    <row r="238" ht="15.75" customHeight="1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  <c r="AD238" s="164"/>
      <c r="AE238" s="164"/>
      <c r="AF238" s="164"/>
      <c r="AG238" s="164"/>
      <c r="AH238" s="164"/>
      <c r="AI238" s="164"/>
      <c r="AJ238" s="164"/>
      <c r="AK238" s="164"/>
      <c r="AL238" s="164"/>
      <c r="AM238" s="164"/>
      <c r="AN238" s="164"/>
      <c r="AO238" s="164"/>
      <c r="AP238" s="164"/>
      <c r="AQ238" s="164"/>
      <c r="AR238" s="164"/>
      <c r="AS238" s="164"/>
      <c r="AT238" s="164"/>
      <c r="AU238" s="164"/>
      <c r="AV238" s="164"/>
      <c r="AW238" s="164"/>
      <c r="AX238" s="164"/>
      <c r="AY238" s="164"/>
      <c r="AZ238" s="164"/>
      <c r="BA238" s="164"/>
      <c r="BB238" s="164"/>
      <c r="BC238" s="164"/>
      <c r="BD238" s="164"/>
      <c r="BE238" s="164"/>
      <c r="BF238" s="164"/>
      <c r="BG238" s="164"/>
      <c r="BH238" s="164"/>
      <c r="BI238" s="164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E2:H2"/>
    <mergeCell ref="I2:K2"/>
    <mergeCell ref="L2:M2"/>
    <mergeCell ref="N2:Q2"/>
    <mergeCell ref="C1:G1"/>
    <mergeCell ref="H1:K1"/>
    <mergeCell ref="L1:M1"/>
    <mergeCell ref="N1:S1"/>
    <mergeCell ref="Z1:AC2"/>
    <mergeCell ref="AX1:BA2"/>
    <mergeCell ref="C2:D2"/>
    <mergeCell ref="R2:S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75"/>
    <col customWidth="1" min="3" max="16" width="8.13"/>
    <col customWidth="1" min="17" max="18" width="8.75"/>
    <col customWidth="1" min="19" max="19" width="8.13"/>
    <col customWidth="1" min="20" max="24" width="8.88"/>
    <col customWidth="1" min="25" max="25" width="9.75"/>
    <col customWidth="1" min="26" max="26" width="10.75"/>
    <col customWidth="1" min="27" max="27" width="9.75"/>
    <col customWidth="1" min="28" max="30" width="8.13"/>
    <col customWidth="1" min="31" max="31" width="14.63"/>
    <col customWidth="1" hidden="1" min="32" max="47" width="8.13"/>
    <col customWidth="1" min="48" max="59" width="8.13"/>
  </cols>
  <sheetData>
    <row r="1" ht="29.25" customHeight="1">
      <c r="A1" s="51" t="s">
        <v>125</v>
      </c>
      <c r="B1" s="52"/>
      <c r="C1" s="53" t="s">
        <v>126</v>
      </c>
      <c r="D1" s="54"/>
      <c r="E1" s="54"/>
      <c r="F1" s="54"/>
      <c r="G1" s="55"/>
      <c r="H1" s="53" t="s">
        <v>127</v>
      </c>
      <c r="I1" s="54"/>
      <c r="J1" s="54"/>
      <c r="K1" s="55"/>
      <c r="L1" s="53" t="s">
        <v>128</v>
      </c>
      <c r="M1" s="55"/>
      <c r="N1" s="53" t="s">
        <v>129</v>
      </c>
      <c r="O1" s="54"/>
      <c r="P1" s="54"/>
      <c r="Q1" s="54"/>
      <c r="R1" s="54"/>
      <c r="S1" s="55"/>
      <c r="T1" s="56"/>
      <c r="U1" s="56"/>
      <c r="V1" s="56"/>
      <c r="W1" s="56"/>
      <c r="X1" s="57" t="s">
        <v>130</v>
      </c>
      <c r="Y1" s="58"/>
      <c r="Z1" s="58"/>
      <c r="AA1" s="59"/>
      <c r="AB1" s="60"/>
      <c r="AC1" s="60"/>
      <c r="AD1" s="61" t="s">
        <v>125</v>
      </c>
      <c r="AE1" s="62"/>
      <c r="AF1" s="63" t="s">
        <v>126</v>
      </c>
      <c r="AG1" s="63"/>
      <c r="AH1" s="63"/>
      <c r="AI1" s="63"/>
      <c r="AJ1" s="64"/>
      <c r="AK1" s="63" t="s">
        <v>127</v>
      </c>
      <c r="AL1" s="64"/>
      <c r="AM1" s="63" t="s">
        <v>128</v>
      </c>
      <c r="AN1" s="64"/>
      <c r="AO1" s="63" t="s">
        <v>129</v>
      </c>
      <c r="AP1" s="63"/>
      <c r="AQ1" s="63"/>
      <c r="AR1" s="63"/>
      <c r="AS1" s="63"/>
      <c r="AT1" s="63"/>
      <c r="AU1" s="63"/>
      <c r="AV1" s="65" t="s">
        <v>130</v>
      </c>
      <c r="AW1" s="58"/>
      <c r="AX1" s="58"/>
      <c r="AY1" s="59"/>
      <c r="AZ1" s="60"/>
      <c r="BA1" s="60"/>
      <c r="BB1" s="60"/>
      <c r="BC1" s="60"/>
      <c r="BD1" s="60"/>
      <c r="BE1" s="60"/>
      <c r="BF1" s="60"/>
      <c r="BG1" s="60"/>
    </row>
    <row r="2" ht="60.0" customHeight="1">
      <c r="A2" s="66"/>
      <c r="B2" s="52"/>
      <c r="C2" s="67" t="s">
        <v>131</v>
      </c>
      <c r="D2" s="55"/>
      <c r="E2" s="67" t="s">
        <v>132</v>
      </c>
      <c r="F2" s="54"/>
      <c r="G2" s="54"/>
      <c r="H2" s="55"/>
      <c r="I2" s="67" t="s">
        <v>133</v>
      </c>
      <c r="J2" s="54"/>
      <c r="K2" s="55"/>
      <c r="L2" s="67" t="s">
        <v>134</v>
      </c>
      <c r="M2" s="55"/>
      <c r="N2" s="67" t="s">
        <v>131</v>
      </c>
      <c r="O2" s="54"/>
      <c r="P2" s="54"/>
      <c r="Q2" s="55"/>
      <c r="R2" s="67" t="s">
        <v>132</v>
      </c>
      <c r="S2" s="55"/>
      <c r="T2" s="56"/>
      <c r="U2" s="56"/>
      <c r="V2" s="56"/>
      <c r="W2" s="56"/>
      <c r="X2" s="68"/>
      <c r="Y2" s="69"/>
      <c r="Z2" s="69"/>
      <c r="AA2" s="70"/>
      <c r="AB2" s="60"/>
      <c r="AC2" s="60"/>
      <c r="AD2" s="71"/>
      <c r="AE2" s="62"/>
      <c r="AF2" s="72" t="s">
        <v>135</v>
      </c>
      <c r="AG2" s="72"/>
      <c r="AH2" s="73"/>
      <c r="AI2" s="72" t="s">
        <v>136</v>
      </c>
      <c r="AJ2" s="73"/>
      <c r="AK2" s="72" t="s">
        <v>136</v>
      </c>
      <c r="AL2" s="73"/>
      <c r="AM2" s="72" t="s">
        <v>135</v>
      </c>
      <c r="AN2" s="73"/>
      <c r="AO2" s="72" t="s">
        <v>135</v>
      </c>
      <c r="AP2" s="72"/>
      <c r="AQ2" s="73"/>
      <c r="AR2" s="74"/>
      <c r="AS2" s="75" t="s">
        <v>136</v>
      </c>
      <c r="AT2" s="75"/>
      <c r="AU2" s="76"/>
      <c r="AV2" s="68"/>
      <c r="AW2" s="69"/>
      <c r="AX2" s="69"/>
      <c r="AY2" s="70"/>
      <c r="AZ2" s="60"/>
      <c r="BA2" s="60"/>
      <c r="BB2" s="60"/>
      <c r="BC2" s="60"/>
      <c r="BD2" s="60"/>
      <c r="BE2" s="60"/>
      <c r="BF2" s="60"/>
      <c r="BG2" s="60"/>
    </row>
    <row r="3" ht="186.75" customHeight="1">
      <c r="A3" s="66"/>
      <c r="B3" s="167" t="s">
        <v>35</v>
      </c>
      <c r="C3" s="168" t="s">
        <v>206</v>
      </c>
      <c r="D3" s="168" t="s">
        <v>207</v>
      </c>
      <c r="E3" s="168" t="s">
        <v>206</v>
      </c>
      <c r="F3" s="168" t="s">
        <v>208</v>
      </c>
      <c r="G3" s="169" t="s">
        <v>209</v>
      </c>
      <c r="H3" s="79" t="s">
        <v>141</v>
      </c>
      <c r="I3" s="169" t="s">
        <v>210</v>
      </c>
      <c r="J3" s="169" t="s">
        <v>211</v>
      </c>
      <c r="K3" s="169" t="s">
        <v>212</v>
      </c>
      <c r="L3" s="80" t="s">
        <v>145</v>
      </c>
      <c r="M3" s="80" t="s">
        <v>213</v>
      </c>
      <c r="N3" s="81" t="s">
        <v>168</v>
      </c>
      <c r="O3" s="80" t="s">
        <v>148</v>
      </c>
      <c r="P3" s="81" t="s">
        <v>214</v>
      </c>
      <c r="Q3" s="80" t="s">
        <v>150</v>
      </c>
      <c r="R3" s="80" t="s">
        <v>148</v>
      </c>
      <c r="S3" s="80" t="s">
        <v>150</v>
      </c>
      <c r="T3" s="82" t="s">
        <v>151</v>
      </c>
      <c r="U3" s="82" t="s">
        <v>152</v>
      </c>
      <c r="V3" s="82" t="s">
        <v>153</v>
      </c>
      <c r="W3" s="82" t="s">
        <v>154</v>
      </c>
      <c r="X3" s="84" t="s">
        <v>157</v>
      </c>
      <c r="Y3" s="84" t="s">
        <v>158</v>
      </c>
      <c r="Z3" s="84" t="s">
        <v>159</v>
      </c>
      <c r="AA3" s="84" t="s">
        <v>160</v>
      </c>
      <c r="AB3" s="85"/>
      <c r="AC3" s="85"/>
      <c r="AD3" s="71"/>
      <c r="AE3" s="86" t="s">
        <v>35</v>
      </c>
      <c r="AF3" s="87" t="s">
        <v>161</v>
      </c>
      <c r="AG3" s="87" t="s">
        <v>162</v>
      </c>
      <c r="AH3" s="88" t="s">
        <v>163</v>
      </c>
      <c r="AI3" s="89" t="s">
        <v>164</v>
      </c>
      <c r="AJ3" s="90" t="s">
        <v>165</v>
      </c>
      <c r="AK3" s="90" t="s">
        <v>141</v>
      </c>
      <c r="AL3" s="90" t="s">
        <v>166</v>
      </c>
      <c r="AM3" s="91" t="s">
        <v>145</v>
      </c>
      <c r="AN3" s="91" t="s">
        <v>167</v>
      </c>
      <c r="AO3" s="90" t="s">
        <v>168</v>
      </c>
      <c r="AP3" s="90" t="s">
        <v>148</v>
      </c>
      <c r="AQ3" s="90" t="s">
        <v>169</v>
      </c>
      <c r="AR3" s="90" t="s">
        <v>150</v>
      </c>
      <c r="AS3" s="90" t="s">
        <v>170</v>
      </c>
      <c r="AT3" s="90" t="s">
        <v>171</v>
      </c>
      <c r="AU3" s="92" t="s">
        <v>172</v>
      </c>
      <c r="AV3" s="93" t="s">
        <v>157</v>
      </c>
      <c r="AW3" s="93" t="s">
        <v>158</v>
      </c>
      <c r="AX3" s="93" t="s">
        <v>159</v>
      </c>
      <c r="AY3" s="93" t="s">
        <v>160</v>
      </c>
      <c r="AZ3" s="85"/>
      <c r="BA3" s="85"/>
      <c r="BB3" s="85"/>
      <c r="BC3" s="85"/>
      <c r="BD3" s="85"/>
      <c r="BE3" s="85"/>
      <c r="BF3" s="85"/>
      <c r="BG3" s="85"/>
    </row>
    <row r="4" ht="160.5" customHeight="1">
      <c r="A4" s="94"/>
      <c r="B4" s="170" t="s">
        <v>1</v>
      </c>
      <c r="C4" s="96" t="s">
        <v>215</v>
      </c>
      <c r="D4" s="96" t="s">
        <v>216</v>
      </c>
      <c r="E4" s="96" t="s">
        <v>217</v>
      </c>
      <c r="F4" s="171" t="s">
        <v>218</v>
      </c>
      <c r="G4" s="171" t="s">
        <v>218</v>
      </c>
      <c r="H4" s="171" t="s">
        <v>218</v>
      </c>
      <c r="I4" s="171" t="s">
        <v>218</v>
      </c>
      <c r="J4" s="171" t="s">
        <v>219</v>
      </c>
      <c r="K4" s="171" t="s">
        <v>220</v>
      </c>
      <c r="L4" s="98" t="s">
        <v>221</v>
      </c>
      <c r="M4" s="172" t="s">
        <v>222</v>
      </c>
      <c r="N4" s="96" t="s">
        <v>223</v>
      </c>
      <c r="O4" s="96" t="s">
        <v>224</v>
      </c>
      <c r="P4" s="96" t="s">
        <v>225</v>
      </c>
      <c r="Q4" s="96" t="s">
        <v>226</v>
      </c>
      <c r="R4" s="96" t="s">
        <v>227</v>
      </c>
      <c r="S4" s="96" t="s">
        <v>228</v>
      </c>
      <c r="T4" s="173"/>
      <c r="U4" s="173"/>
      <c r="V4" s="173"/>
      <c r="W4" s="173"/>
      <c r="X4" s="173"/>
      <c r="Y4" s="173"/>
      <c r="Z4" s="173"/>
      <c r="AA4" s="173"/>
      <c r="AB4" s="103"/>
      <c r="AC4" s="103"/>
      <c r="AD4" s="104"/>
      <c r="AE4" s="105" t="s">
        <v>1</v>
      </c>
      <c r="AF4" s="106" t="s">
        <v>189</v>
      </c>
      <c r="AG4" s="106" t="s">
        <v>189</v>
      </c>
      <c r="AH4" s="107" t="s">
        <v>190</v>
      </c>
      <c r="AI4" s="107" t="s">
        <v>191</v>
      </c>
      <c r="AJ4" s="107" t="s">
        <v>192</v>
      </c>
      <c r="AK4" s="107" t="s">
        <v>193</v>
      </c>
      <c r="AL4" s="107" t="s">
        <v>194</v>
      </c>
      <c r="AM4" s="108" t="s">
        <v>195</v>
      </c>
      <c r="AN4" s="109" t="s">
        <v>196</v>
      </c>
      <c r="AO4" s="107" t="s">
        <v>197</v>
      </c>
      <c r="AP4" s="107" t="s">
        <v>198</v>
      </c>
      <c r="AQ4" s="107" t="s">
        <v>199</v>
      </c>
      <c r="AR4" s="107" t="s">
        <v>189</v>
      </c>
      <c r="AS4" s="107" t="s">
        <v>200</v>
      </c>
      <c r="AT4" s="107" t="s">
        <v>201</v>
      </c>
      <c r="AU4" s="110" t="s">
        <v>202</v>
      </c>
      <c r="AV4" s="111"/>
      <c r="AW4" s="111"/>
      <c r="AX4" s="111"/>
      <c r="AY4" s="111"/>
      <c r="AZ4" s="103"/>
      <c r="BA4" s="103"/>
      <c r="BB4" s="103"/>
      <c r="BC4" s="103"/>
      <c r="BD4" s="103"/>
      <c r="BE4" s="103"/>
      <c r="BF4" s="103"/>
      <c r="BG4" s="103"/>
    </row>
    <row r="5" ht="15.75" customHeight="1">
      <c r="A5" s="112"/>
      <c r="B5" s="42" t="s">
        <v>41</v>
      </c>
      <c r="C5" s="113">
        <v>212.0</v>
      </c>
      <c r="D5" s="113">
        <v>1610.0</v>
      </c>
      <c r="E5" s="113" t="s">
        <v>229</v>
      </c>
      <c r="F5" s="113" t="s">
        <v>229</v>
      </c>
      <c r="G5" s="113" t="s">
        <v>229</v>
      </c>
      <c r="H5" s="113" t="s">
        <v>229</v>
      </c>
      <c r="I5" s="113">
        <v>237.0</v>
      </c>
      <c r="J5" s="113">
        <v>146.0</v>
      </c>
      <c r="K5" s="113">
        <v>0.0</v>
      </c>
      <c r="L5" s="113">
        <v>80145.0</v>
      </c>
      <c r="M5" s="113">
        <v>34983.0</v>
      </c>
      <c r="N5" s="113">
        <v>1501.0</v>
      </c>
      <c r="O5" s="113">
        <v>8084.0</v>
      </c>
      <c r="P5" s="113">
        <v>55334.0</v>
      </c>
      <c r="Q5" s="113">
        <v>2390.0</v>
      </c>
      <c r="R5" s="113" t="s">
        <v>229</v>
      </c>
      <c r="S5" s="113" t="s">
        <v>229</v>
      </c>
      <c r="T5" s="114"/>
      <c r="U5" s="114"/>
      <c r="V5" s="114"/>
      <c r="W5" s="114"/>
      <c r="X5" s="114">
        <f t="shared" ref="X5:X37" si="1">SUM(C5:K5)</f>
        <v>2205</v>
      </c>
      <c r="Y5" s="114">
        <f t="shared" ref="Y5:Y37" si="2">((L5+M5)-(SUM(N5:S5)))</f>
        <v>47819</v>
      </c>
      <c r="Z5" s="115">
        <f t="shared" ref="Z5:Z38" si="3">X5/Y5</f>
        <v>0.04611137832</v>
      </c>
      <c r="AA5" s="115">
        <f t="shared" ref="AA5:AA38" si="4">100%-Z5</f>
        <v>0.9538886217</v>
      </c>
      <c r="AB5" s="116"/>
      <c r="AC5" s="116"/>
      <c r="AD5" s="117"/>
      <c r="AE5" s="174" t="s">
        <v>41</v>
      </c>
      <c r="AF5" s="119"/>
      <c r="AG5" s="119"/>
      <c r="AH5" s="119"/>
      <c r="AI5" s="120"/>
      <c r="AJ5" s="119"/>
      <c r="AK5" s="119"/>
      <c r="AL5" s="119"/>
      <c r="AM5" s="121"/>
      <c r="AN5" s="122"/>
      <c r="AO5" s="119"/>
      <c r="AP5" s="119"/>
      <c r="AQ5" s="119"/>
      <c r="AR5" s="119"/>
      <c r="AS5" s="119"/>
      <c r="AT5" s="119"/>
      <c r="AU5" s="120"/>
      <c r="AV5" s="120">
        <v>2205.0</v>
      </c>
      <c r="AW5" s="120">
        <v>47808.0</v>
      </c>
      <c r="AX5" s="123">
        <v>0.046121987951807226</v>
      </c>
      <c r="AY5" s="123">
        <v>0.9538780120481928</v>
      </c>
      <c r="AZ5" s="116"/>
      <c r="BA5" s="116"/>
      <c r="BB5" s="116"/>
      <c r="BC5" s="116"/>
      <c r="BD5" s="116"/>
      <c r="BE5" s="116"/>
      <c r="BF5" s="116"/>
      <c r="BG5" s="116"/>
    </row>
    <row r="6" ht="15.75" customHeight="1">
      <c r="A6" s="112"/>
      <c r="B6" s="38" t="s">
        <v>43</v>
      </c>
      <c r="C6" s="113">
        <v>11.0</v>
      </c>
      <c r="D6" s="175">
        <v>1782.0</v>
      </c>
      <c r="E6" s="113">
        <v>0.0</v>
      </c>
      <c r="F6" s="176">
        <v>227.0</v>
      </c>
      <c r="G6" s="113">
        <v>780.0</v>
      </c>
      <c r="H6" s="177">
        <v>900.0</v>
      </c>
      <c r="I6" s="113">
        <v>153.0</v>
      </c>
      <c r="J6" s="113">
        <v>47.0</v>
      </c>
      <c r="K6" s="113">
        <v>14.0</v>
      </c>
      <c r="L6" s="113">
        <v>39741.0</v>
      </c>
      <c r="M6" s="113">
        <v>39707.0</v>
      </c>
      <c r="N6" s="113">
        <v>639.0</v>
      </c>
      <c r="O6" s="113">
        <v>1145.0</v>
      </c>
      <c r="P6" s="113">
        <v>1387.0</v>
      </c>
      <c r="Q6" s="113">
        <v>130.0</v>
      </c>
      <c r="R6" s="113">
        <v>0.0</v>
      </c>
      <c r="S6" s="113">
        <v>0.0</v>
      </c>
      <c r="T6" s="114">
        <f t="shared" ref="T6:T38" si="5">C6+D6+E6+F6+G6</f>
        <v>2800</v>
      </c>
      <c r="U6" s="114">
        <f t="shared" ref="U6:U38" si="6">H6+I6+J6+K6</f>
        <v>1114</v>
      </c>
      <c r="V6" s="114">
        <f t="shared" ref="V6:V38" si="7">L6+M6</f>
        <v>79448</v>
      </c>
      <c r="W6" s="114">
        <f t="shared" ref="W6:W38" si="8">SUM(N6:S6)</f>
        <v>3301</v>
      </c>
      <c r="X6" s="114">
        <f t="shared" si="1"/>
        <v>3914</v>
      </c>
      <c r="Y6" s="114">
        <f t="shared" si="2"/>
        <v>76147</v>
      </c>
      <c r="Z6" s="115">
        <f t="shared" si="3"/>
        <v>0.05140058046</v>
      </c>
      <c r="AA6" s="115">
        <f t="shared" si="4"/>
        <v>0.9485994195</v>
      </c>
      <c r="AB6" s="178"/>
      <c r="AC6" s="116"/>
      <c r="AD6" s="117"/>
      <c r="AE6" s="118" t="s">
        <v>43</v>
      </c>
      <c r="AF6" s="119">
        <v>6.0</v>
      </c>
      <c r="AG6" s="119">
        <v>11.0</v>
      </c>
      <c r="AH6" s="119">
        <v>469.0</v>
      </c>
      <c r="AI6" s="120">
        <v>0.0</v>
      </c>
      <c r="AJ6" s="119">
        <v>70.0</v>
      </c>
      <c r="AK6" s="119">
        <v>262.0</v>
      </c>
      <c r="AL6" s="119">
        <v>4.0</v>
      </c>
      <c r="AM6" s="121">
        <v>40597.0</v>
      </c>
      <c r="AN6" s="131">
        <v>23591.0</v>
      </c>
      <c r="AO6" s="119">
        <v>28.0</v>
      </c>
      <c r="AP6" s="119">
        <v>880.0</v>
      </c>
      <c r="AQ6" s="119">
        <v>903.0</v>
      </c>
      <c r="AR6" s="119">
        <v>55.0</v>
      </c>
      <c r="AS6" s="119">
        <v>18.0</v>
      </c>
      <c r="AT6" s="119">
        <v>55.0</v>
      </c>
      <c r="AU6" s="120">
        <v>11.0</v>
      </c>
      <c r="AV6" s="120">
        <v>3660.0</v>
      </c>
      <c r="AW6" s="120">
        <v>116364.0</v>
      </c>
      <c r="AX6" s="123">
        <v>0.03145302670929153</v>
      </c>
      <c r="AY6" s="123">
        <v>0.9685469732907085</v>
      </c>
      <c r="AZ6" s="116"/>
      <c r="BA6" s="116"/>
      <c r="BB6" s="116"/>
      <c r="BC6" s="116"/>
      <c r="BD6" s="116"/>
      <c r="BE6" s="116"/>
      <c r="BF6" s="116"/>
      <c r="BG6" s="116"/>
    </row>
    <row r="7" ht="15.75" customHeight="1">
      <c r="A7" s="179"/>
      <c r="B7" s="38" t="s">
        <v>45</v>
      </c>
      <c r="C7" s="113">
        <v>17385.0</v>
      </c>
      <c r="D7" s="175">
        <v>10019.0</v>
      </c>
      <c r="E7" s="113">
        <v>5.0</v>
      </c>
      <c r="F7" s="180">
        <v>70.0</v>
      </c>
      <c r="G7" s="113">
        <v>64.0</v>
      </c>
      <c r="H7" s="177">
        <v>237.0</v>
      </c>
      <c r="I7" s="113">
        <v>97.0</v>
      </c>
      <c r="J7" s="113">
        <v>30.0</v>
      </c>
      <c r="K7" s="113">
        <v>0.0</v>
      </c>
      <c r="L7" s="113">
        <v>113864.0</v>
      </c>
      <c r="M7" s="113">
        <v>181730.0</v>
      </c>
      <c r="N7" s="113">
        <v>1546.0</v>
      </c>
      <c r="O7" s="113">
        <v>1313.0</v>
      </c>
      <c r="P7" s="113">
        <v>85006.0</v>
      </c>
      <c r="Q7" s="113">
        <v>947.0</v>
      </c>
      <c r="R7" s="113">
        <v>22.0</v>
      </c>
      <c r="S7" s="113">
        <v>323.0</v>
      </c>
      <c r="T7" s="114">
        <f t="shared" si="5"/>
        <v>27543</v>
      </c>
      <c r="U7" s="114">
        <f t="shared" si="6"/>
        <v>364</v>
      </c>
      <c r="V7" s="114">
        <f t="shared" si="7"/>
        <v>295594</v>
      </c>
      <c r="W7" s="114">
        <f t="shared" si="8"/>
        <v>89157</v>
      </c>
      <c r="X7" s="114">
        <f t="shared" si="1"/>
        <v>27907</v>
      </c>
      <c r="Y7" s="114">
        <f t="shared" si="2"/>
        <v>206437</v>
      </c>
      <c r="Z7" s="115">
        <f t="shared" si="3"/>
        <v>0.1351840997</v>
      </c>
      <c r="AA7" s="115">
        <f t="shared" si="4"/>
        <v>0.8648159003</v>
      </c>
      <c r="AB7" s="178"/>
      <c r="AC7" s="116"/>
      <c r="AD7" s="117"/>
      <c r="AE7" s="118" t="s">
        <v>45</v>
      </c>
      <c r="AF7" s="119">
        <v>13752.0</v>
      </c>
      <c r="AG7" s="119">
        <v>357.0</v>
      </c>
      <c r="AH7" s="119">
        <v>3541.0</v>
      </c>
      <c r="AI7" s="120">
        <v>604.0</v>
      </c>
      <c r="AJ7" s="119">
        <v>60.0</v>
      </c>
      <c r="AK7" s="119">
        <v>197.0</v>
      </c>
      <c r="AL7" s="119">
        <v>0.0</v>
      </c>
      <c r="AM7" s="121">
        <v>147385.0</v>
      </c>
      <c r="AN7" s="131">
        <v>81827.0</v>
      </c>
      <c r="AO7" s="119">
        <v>1426.0</v>
      </c>
      <c r="AP7" s="119">
        <v>1057.0</v>
      </c>
      <c r="AQ7" s="119">
        <v>20490.0</v>
      </c>
      <c r="AR7" s="119">
        <v>150.0</v>
      </c>
      <c r="AS7" s="119">
        <v>40.0</v>
      </c>
      <c r="AT7" s="119">
        <v>150.0</v>
      </c>
      <c r="AU7" s="120">
        <v>357.0</v>
      </c>
      <c r="AV7" s="120">
        <v>25048.0</v>
      </c>
      <c r="AW7" s="120">
        <v>129475.0</v>
      </c>
      <c r="AX7" s="123">
        <v>0.19345819656304306</v>
      </c>
      <c r="AY7" s="123">
        <v>0.8065418034369569</v>
      </c>
      <c r="AZ7" s="116"/>
      <c r="BA7" s="116"/>
      <c r="BB7" s="116"/>
      <c r="BC7" s="116"/>
      <c r="BD7" s="116"/>
      <c r="BE7" s="116"/>
      <c r="BF7" s="116"/>
      <c r="BG7" s="116"/>
    </row>
    <row r="8" ht="15.75" customHeight="1">
      <c r="A8" s="112"/>
      <c r="B8" s="38" t="s">
        <v>46</v>
      </c>
      <c r="C8" s="181"/>
      <c r="D8" s="182"/>
      <c r="E8" s="181"/>
      <c r="F8" s="183"/>
      <c r="G8" s="181"/>
      <c r="H8" s="184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14">
        <f t="shared" si="5"/>
        <v>0</v>
      </c>
      <c r="U8" s="114">
        <f t="shared" si="6"/>
        <v>0</v>
      </c>
      <c r="V8" s="114">
        <f t="shared" si="7"/>
        <v>0</v>
      </c>
      <c r="W8" s="114">
        <f t="shared" si="8"/>
        <v>0</v>
      </c>
      <c r="X8" s="114">
        <f t="shared" si="1"/>
        <v>0</v>
      </c>
      <c r="Y8" s="114">
        <f t="shared" si="2"/>
        <v>0</v>
      </c>
      <c r="Z8" s="115" t="str">
        <f t="shared" si="3"/>
        <v>#DIV/0!</v>
      </c>
      <c r="AA8" s="115" t="str">
        <f t="shared" si="4"/>
        <v>#DIV/0!</v>
      </c>
      <c r="AB8" s="178"/>
      <c r="AC8" s="116"/>
      <c r="AD8" s="117"/>
      <c r="AE8" s="118" t="s">
        <v>46</v>
      </c>
      <c r="AF8" s="119">
        <v>973.0</v>
      </c>
      <c r="AG8" s="119">
        <v>0.0</v>
      </c>
      <c r="AH8" s="119">
        <v>713.0</v>
      </c>
      <c r="AI8" s="120">
        <v>0.0</v>
      </c>
      <c r="AJ8" s="119">
        <v>5.0</v>
      </c>
      <c r="AK8" s="119">
        <v>19.0</v>
      </c>
      <c r="AL8" s="119">
        <v>3.0</v>
      </c>
      <c r="AM8" s="121">
        <v>22890.0</v>
      </c>
      <c r="AN8" s="131">
        <v>13043.0</v>
      </c>
      <c r="AO8" s="119">
        <v>328.0</v>
      </c>
      <c r="AP8" s="119">
        <v>38.0</v>
      </c>
      <c r="AQ8" s="119">
        <v>781.0</v>
      </c>
      <c r="AR8" s="119">
        <v>20.0</v>
      </c>
      <c r="AS8" s="119">
        <v>14.0</v>
      </c>
      <c r="AT8" s="119">
        <v>20.0</v>
      </c>
      <c r="AU8" s="120">
        <v>0.0</v>
      </c>
      <c r="AV8" s="120">
        <v>1598.0</v>
      </c>
      <c r="AW8" s="120">
        <v>111707.0</v>
      </c>
      <c r="AX8" s="123">
        <v>0.01430528077918125</v>
      </c>
      <c r="AY8" s="123">
        <v>0.9856947192208187</v>
      </c>
      <c r="AZ8" s="116"/>
      <c r="BA8" s="116"/>
      <c r="BB8" s="116"/>
      <c r="BC8" s="116"/>
      <c r="BD8" s="116"/>
      <c r="BE8" s="116"/>
      <c r="BF8" s="116"/>
      <c r="BG8" s="116"/>
    </row>
    <row r="9" ht="15.75" customHeight="1">
      <c r="A9" s="112"/>
      <c r="B9" s="38" t="s">
        <v>47</v>
      </c>
      <c r="C9" s="113">
        <v>18.0</v>
      </c>
      <c r="D9" s="175">
        <v>1098.0</v>
      </c>
      <c r="E9" s="185">
        <v>0.0</v>
      </c>
      <c r="F9" s="180">
        <v>20.0</v>
      </c>
      <c r="G9" s="113">
        <v>60.0</v>
      </c>
      <c r="H9" s="177">
        <v>39.0</v>
      </c>
      <c r="I9" s="113">
        <v>0.0</v>
      </c>
      <c r="J9" s="113">
        <v>0.0</v>
      </c>
      <c r="K9" s="113">
        <v>0.0</v>
      </c>
      <c r="L9" s="113">
        <v>21578.0</v>
      </c>
      <c r="M9" s="113">
        <v>18100.0</v>
      </c>
      <c r="N9" s="113">
        <v>411.0</v>
      </c>
      <c r="O9" s="113">
        <v>391.0</v>
      </c>
      <c r="P9" s="113">
        <v>489.0</v>
      </c>
      <c r="Q9" s="113">
        <v>21.0</v>
      </c>
      <c r="R9" s="113">
        <v>0.0</v>
      </c>
      <c r="S9" s="113">
        <v>1.0</v>
      </c>
      <c r="T9" s="114">
        <f t="shared" si="5"/>
        <v>1196</v>
      </c>
      <c r="U9" s="114">
        <f t="shared" si="6"/>
        <v>39</v>
      </c>
      <c r="V9" s="114">
        <f t="shared" si="7"/>
        <v>39678</v>
      </c>
      <c r="W9" s="114">
        <f t="shared" si="8"/>
        <v>1313</v>
      </c>
      <c r="X9" s="114">
        <f t="shared" si="1"/>
        <v>1235</v>
      </c>
      <c r="Y9" s="114">
        <f t="shared" si="2"/>
        <v>38365</v>
      </c>
      <c r="Z9" s="115">
        <f t="shared" si="3"/>
        <v>0.03219079891</v>
      </c>
      <c r="AA9" s="115">
        <f t="shared" si="4"/>
        <v>0.9678092011</v>
      </c>
      <c r="AB9" s="178"/>
      <c r="AC9" s="116"/>
      <c r="AD9" s="117"/>
      <c r="AE9" s="118" t="s">
        <v>47</v>
      </c>
      <c r="AF9" s="119">
        <v>17.0</v>
      </c>
      <c r="AG9" s="119">
        <v>2662.0</v>
      </c>
      <c r="AH9" s="119">
        <v>915.0</v>
      </c>
      <c r="AI9" s="120">
        <v>6.0</v>
      </c>
      <c r="AJ9" s="119">
        <v>29.0</v>
      </c>
      <c r="AK9" s="119">
        <v>66.0</v>
      </c>
      <c r="AL9" s="119">
        <v>4.0</v>
      </c>
      <c r="AM9" s="121">
        <v>21962.0</v>
      </c>
      <c r="AN9" s="131">
        <v>21937.0</v>
      </c>
      <c r="AO9" s="119">
        <v>69.0</v>
      </c>
      <c r="AP9" s="119">
        <v>1064.0</v>
      </c>
      <c r="AQ9" s="119">
        <v>33.0</v>
      </c>
      <c r="AR9" s="119">
        <v>44.0</v>
      </c>
      <c r="AS9" s="119">
        <v>0.0</v>
      </c>
      <c r="AT9" s="119">
        <v>44.0</v>
      </c>
      <c r="AU9" s="120">
        <v>2662.0</v>
      </c>
      <c r="AV9" s="120">
        <v>736.0</v>
      </c>
      <c r="AW9" s="120">
        <v>39403.0</v>
      </c>
      <c r="AX9" s="123">
        <v>0.01867878080349212</v>
      </c>
      <c r="AY9" s="123">
        <v>0.9813212191965078</v>
      </c>
      <c r="AZ9" s="116"/>
      <c r="BA9" s="116"/>
      <c r="BB9" s="116"/>
      <c r="BC9" s="116"/>
      <c r="BD9" s="116"/>
      <c r="BE9" s="116"/>
      <c r="BF9" s="116"/>
      <c r="BG9" s="116"/>
    </row>
    <row r="10" ht="15.75" customHeight="1">
      <c r="A10" s="112"/>
      <c r="B10" s="38" t="s">
        <v>48</v>
      </c>
      <c r="C10" s="113">
        <v>0.0</v>
      </c>
      <c r="D10" s="175">
        <v>2507.0</v>
      </c>
      <c r="E10" s="113">
        <v>0.0</v>
      </c>
      <c r="F10" s="180">
        <v>194.0</v>
      </c>
      <c r="G10" s="113">
        <v>1701.0</v>
      </c>
      <c r="H10" s="177">
        <v>32.0</v>
      </c>
      <c r="I10" s="113">
        <v>22.0</v>
      </c>
      <c r="J10" s="113">
        <v>2.0</v>
      </c>
      <c r="K10" s="113">
        <v>0.0</v>
      </c>
      <c r="L10" s="113">
        <v>58557.0</v>
      </c>
      <c r="M10" s="113">
        <v>89303.0</v>
      </c>
      <c r="N10" s="113">
        <v>102.0</v>
      </c>
      <c r="O10" s="113">
        <v>10.0</v>
      </c>
      <c r="P10" s="113">
        <v>7260.0</v>
      </c>
      <c r="Q10" s="113">
        <v>81.0</v>
      </c>
      <c r="R10" s="113">
        <v>0.0</v>
      </c>
      <c r="S10" s="113">
        <v>0.0</v>
      </c>
      <c r="T10" s="114">
        <f t="shared" si="5"/>
        <v>4402</v>
      </c>
      <c r="U10" s="114">
        <f t="shared" si="6"/>
        <v>56</v>
      </c>
      <c r="V10" s="114">
        <f t="shared" si="7"/>
        <v>147860</v>
      </c>
      <c r="W10" s="114">
        <f t="shared" si="8"/>
        <v>7453</v>
      </c>
      <c r="X10" s="114">
        <f t="shared" si="1"/>
        <v>4458</v>
      </c>
      <c r="Y10" s="114">
        <f t="shared" si="2"/>
        <v>140407</v>
      </c>
      <c r="Z10" s="115">
        <f t="shared" si="3"/>
        <v>0.03175055375</v>
      </c>
      <c r="AA10" s="115">
        <f t="shared" si="4"/>
        <v>0.9682494463</v>
      </c>
      <c r="AB10" s="178"/>
      <c r="AC10" s="116"/>
      <c r="AD10" s="117"/>
      <c r="AE10" s="118" t="s">
        <v>48</v>
      </c>
      <c r="AF10" s="119">
        <v>407.0</v>
      </c>
      <c r="AG10" s="119">
        <v>0.0</v>
      </c>
      <c r="AH10" s="119">
        <v>4849.0</v>
      </c>
      <c r="AI10" s="120">
        <v>11.0</v>
      </c>
      <c r="AJ10" s="119">
        <v>4.0</v>
      </c>
      <c r="AK10" s="119">
        <v>396.0</v>
      </c>
      <c r="AL10" s="119">
        <v>41.0</v>
      </c>
      <c r="AM10" s="121">
        <v>13273.0</v>
      </c>
      <c r="AN10" s="131">
        <v>3013.0</v>
      </c>
      <c r="AO10" s="119">
        <v>0.0</v>
      </c>
      <c r="AP10" s="119">
        <v>21.0</v>
      </c>
      <c r="AQ10" s="119">
        <v>3707.0</v>
      </c>
      <c r="AR10" s="119">
        <v>28.0</v>
      </c>
      <c r="AS10" s="119">
        <v>0.0</v>
      </c>
      <c r="AT10" s="119">
        <v>28.0</v>
      </c>
      <c r="AU10" s="120">
        <v>0.0</v>
      </c>
      <c r="AV10" s="120">
        <v>5134.0</v>
      </c>
      <c r="AW10" s="120">
        <v>100636.0</v>
      </c>
      <c r="AX10" s="123">
        <v>0.05101554115823363</v>
      </c>
      <c r="AY10" s="123">
        <v>0.9489844588417664</v>
      </c>
      <c r="AZ10" s="116"/>
      <c r="BA10" s="116"/>
      <c r="BB10" s="116"/>
      <c r="BC10" s="116"/>
      <c r="BD10" s="116"/>
      <c r="BE10" s="116"/>
      <c r="BF10" s="116"/>
      <c r="BG10" s="116"/>
    </row>
    <row r="11" ht="15.75" customHeight="1">
      <c r="A11" s="179"/>
      <c r="B11" s="38" t="s">
        <v>49</v>
      </c>
      <c r="C11" s="113">
        <v>716.0</v>
      </c>
      <c r="D11" s="175">
        <v>1542.0</v>
      </c>
      <c r="E11" s="113">
        <v>97.0</v>
      </c>
      <c r="F11" s="176">
        <v>0.0</v>
      </c>
      <c r="G11" s="113">
        <v>0.0</v>
      </c>
      <c r="H11" s="177">
        <v>0.0</v>
      </c>
      <c r="I11" s="113">
        <v>0.0</v>
      </c>
      <c r="J11" s="113">
        <v>0.0</v>
      </c>
      <c r="K11" s="113">
        <v>0.0</v>
      </c>
      <c r="L11" s="113">
        <v>30442.0</v>
      </c>
      <c r="M11" s="113">
        <v>19842.0</v>
      </c>
      <c r="N11" s="113">
        <v>422.0</v>
      </c>
      <c r="O11" s="113">
        <v>599.0</v>
      </c>
      <c r="P11" s="113">
        <v>1481.0</v>
      </c>
      <c r="Q11" s="113">
        <v>41.0</v>
      </c>
      <c r="R11" s="113">
        <v>110.0</v>
      </c>
      <c r="S11" s="113">
        <v>1.0</v>
      </c>
      <c r="T11" s="114">
        <f t="shared" si="5"/>
        <v>2355</v>
      </c>
      <c r="U11" s="114">
        <f t="shared" si="6"/>
        <v>0</v>
      </c>
      <c r="V11" s="114">
        <f t="shared" si="7"/>
        <v>50284</v>
      </c>
      <c r="W11" s="114">
        <f t="shared" si="8"/>
        <v>2654</v>
      </c>
      <c r="X11" s="114">
        <f t="shared" si="1"/>
        <v>2355</v>
      </c>
      <c r="Y11" s="114">
        <f t="shared" si="2"/>
        <v>47630</v>
      </c>
      <c r="Z11" s="115">
        <f t="shared" si="3"/>
        <v>0.04944362797</v>
      </c>
      <c r="AA11" s="115">
        <f t="shared" si="4"/>
        <v>0.950556372</v>
      </c>
      <c r="AB11" s="178"/>
      <c r="AC11" s="116"/>
      <c r="AD11" s="117"/>
      <c r="AE11" s="118" t="s">
        <v>49</v>
      </c>
      <c r="AF11" s="119">
        <v>169.0</v>
      </c>
      <c r="AG11" s="119">
        <v>0.0</v>
      </c>
      <c r="AH11" s="119">
        <v>1147.0</v>
      </c>
      <c r="AI11" s="120">
        <v>134.0</v>
      </c>
      <c r="AJ11" s="119">
        <v>135.0</v>
      </c>
      <c r="AK11" s="119">
        <v>302.0</v>
      </c>
      <c r="AL11" s="119">
        <v>8.0</v>
      </c>
      <c r="AM11" s="121">
        <v>73966.0</v>
      </c>
      <c r="AN11" s="131">
        <v>55569.0</v>
      </c>
      <c r="AO11" s="119">
        <v>162.0</v>
      </c>
      <c r="AP11" s="119">
        <v>5002.0</v>
      </c>
      <c r="AQ11" s="119">
        <v>3905.0</v>
      </c>
      <c r="AR11" s="119">
        <v>378.0</v>
      </c>
      <c r="AS11" s="119">
        <v>567.0</v>
      </c>
      <c r="AT11" s="119">
        <v>378.0</v>
      </c>
      <c r="AU11" s="120">
        <v>0.0</v>
      </c>
      <c r="AV11" s="120">
        <v>2026.0</v>
      </c>
      <c r="AW11" s="120">
        <v>75727.0</v>
      </c>
      <c r="AX11" s="123">
        <v>0.02675399791355791</v>
      </c>
      <c r="AY11" s="123">
        <v>0.9732460020864421</v>
      </c>
      <c r="AZ11" s="116"/>
      <c r="BA11" s="116"/>
      <c r="BB11" s="116"/>
      <c r="BC11" s="116"/>
      <c r="BD11" s="116"/>
      <c r="BE11" s="116"/>
      <c r="BF11" s="116"/>
      <c r="BG11" s="116"/>
    </row>
    <row r="12" ht="15.75" customHeight="1">
      <c r="A12" s="179"/>
      <c r="B12" s="38" t="s">
        <v>50</v>
      </c>
      <c r="C12" s="113">
        <v>454.0</v>
      </c>
      <c r="D12" s="175">
        <v>5780.0</v>
      </c>
      <c r="E12" s="113">
        <v>0.0</v>
      </c>
      <c r="F12" s="180">
        <v>11.0</v>
      </c>
      <c r="G12" s="113">
        <v>7.0</v>
      </c>
      <c r="H12" s="177">
        <v>254.0</v>
      </c>
      <c r="I12" s="113">
        <v>198.0</v>
      </c>
      <c r="J12" s="113">
        <v>40.0</v>
      </c>
      <c r="K12" s="113">
        <v>0.0</v>
      </c>
      <c r="L12" s="113">
        <v>13005.0</v>
      </c>
      <c r="M12" s="113">
        <v>4004.0</v>
      </c>
      <c r="N12" s="113">
        <v>0.0</v>
      </c>
      <c r="O12" s="113">
        <v>21.0</v>
      </c>
      <c r="P12" s="113">
        <v>3921.0</v>
      </c>
      <c r="Q12" s="113">
        <v>24.0</v>
      </c>
      <c r="R12" s="113">
        <v>0.0</v>
      </c>
      <c r="S12" s="113">
        <v>0.0</v>
      </c>
      <c r="T12" s="114">
        <f t="shared" si="5"/>
        <v>6252</v>
      </c>
      <c r="U12" s="114">
        <f t="shared" si="6"/>
        <v>492</v>
      </c>
      <c r="V12" s="114">
        <f t="shared" si="7"/>
        <v>17009</v>
      </c>
      <c r="W12" s="114">
        <f t="shared" si="8"/>
        <v>3966</v>
      </c>
      <c r="X12" s="114">
        <f t="shared" si="1"/>
        <v>6744</v>
      </c>
      <c r="Y12" s="114">
        <f t="shared" si="2"/>
        <v>13043</v>
      </c>
      <c r="Z12" s="115">
        <f t="shared" si="3"/>
        <v>0.5170589588</v>
      </c>
      <c r="AA12" s="115">
        <f t="shared" si="4"/>
        <v>0.4829410412</v>
      </c>
      <c r="AB12" s="178"/>
      <c r="AC12" s="116"/>
      <c r="AD12" s="117"/>
      <c r="AE12" s="118" t="s">
        <v>50</v>
      </c>
      <c r="AF12" s="119">
        <v>226.0</v>
      </c>
      <c r="AG12" s="119">
        <v>860.0</v>
      </c>
      <c r="AH12" s="119">
        <v>514.0</v>
      </c>
      <c r="AI12" s="120">
        <v>31.0</v>
      </c>
      <c r="AJ12" s="119">
        <v>3001.0</v>
      </c>
      <c r="AK12" s="119">
        <v>1982.0</v>
      </c>
      <c r="AL12" s="119">
        <v>559.0</v>
      </c>
      <c r="AM12" s="121">
        <v>242392.0</v>
      </c>
      <c r="AN12" s="131">
        <v>220608.0</v>
      </c>
      <c r="AO12" s="119">
        <v>490.0</v>
      </c>
      <c r="AP12" s="119">
        <v>45067.0</v>
      </c>
      <c r="AQ12" s="119">
        <v>6616.0</v>
      </c>
      <c r="AR12" s="119">
        <v>609.0</v>
      </c>
      <c r="AS12" s="119">
        <v>242.0</v>
      </c>
      <c r="AT12" s="119">
        <v>609.0</v>
      </c>
      <c r="AU12" s="120">
        <v>860.0</v>
      </c>
      <c r="AV12" s="186">
        <v>6195.0</v>
      </c>
      <c r="AW12" s="186">
        <v>30421.0</v>
      </c>
      <c r="AX12" s="187">
        <v>0.2036422208342921</v>
      </c>
      <c r="AY12" s="187">
        <v>0.7963577791657079</v>
      </c>
      <c r="AZ12" s="116"/>
      <c r="BA12" s="116"/>
      <c r="BB12" s="116"/>
      <c r="BC12" s="116"/>
      <c r="BD12" s="116"/>
      <c r="BE12" s="116"/>
      <c r="BF12" s="116"/>
      <c r="BG12" s="116"/>
    </row>
    <row r="13" ht="15.75" customHeight="1">
      <c r="A13" s="112"/>
      <c r="B13" s="38" t="s">
        <v>51</v>
      </c>
      <c r="C13" s="113">
        <v>523.0</v>
      </c>
      <c r="D13" s="175">
        <v>3760.0</v>
      </c>
      <c r="E13" s="113">
        <v>526.0</v>
      </c>
      <c r="F13" s="176">
        <v>835.0</v>
      </c>
      <c r="G13" s="113">
        <v>3270.0</v>
      </c>
      <c r="H13" s="177">
        <v>2085.0</v>
      </c>
      <c r="I13" s="113">
        <v>409.0</v>
      </c>
      <c r="J13" s="113">
        <v>138.0</v>
      </c>
      <c r="K13" s="113">
        <v>46.0</v>
      </c>
      <c r="L13" s="113">
        <v>68876.0</v>
      </c>
      <c r="M13" s="113">
        <v>59315.0</v>
      </c>
      <c r="N13" s="113">
        <v>223.0</v>
      </c>
      <c r="O13" s="113">
        <v>40.0</v>
      </c>
      <c r="P13" s="113">
        <v>3845.0</v>
      </c>
      <c r="Q13" s="113"/>
      <c r="R13" s="113"/>
      <c r="S13" s="113"/>
      <c r="T13" s="114">
        <f t="shared" si="5"/>
        <v>8914</v>
      </c>
      <c r="U13" s="114">
        <f t="shared" si="6"/>
        <v>2678</v>
      </c>
      <c r="V13" s="114">
        <f t="shared" si="7"/>
        <v>128191</v>
      </c>
      <c r="W13" s="114">
        <f t="shared" si="8"/>
        <v>4108</v>
      </c>
      <c r="X13" s="114">
        <f t="shared" si="1"/>
        <v>11592</v>
      </c>
      <c r="Y13" s="114">
        <f t="shared" si="2"/>
        <v>124083</v>
      </c>
      <c r="Z13" s="115">
        <f t="shared" si="3"/>
        <v>0.09342133894</v>
      </c>
      <c r="AA13" s="115">
        <f t="shared" si="4"/>
        <v>0.9065786611</v>
      </c>
      <c r="AB13" s="178"/>
      <c r="AC13" s="116"/>
      <c r="AD13" s="117"/>
      <c r="AE13" s="118" t="s">
        <v>51</v>
      </c>
      <c r="AF13" s="119">
        <v>0.0</v>
      </c>
      <c r="AG13" s="119">
        <v>0.0</v>
      </c>
      <c r="AH13" s="119">
        <v>3351.0</v>
      </c>
      <c r="AI13" s="120">
        <v>35.0</v>
      </c>
      <c r="AJ13" s="119">
        <v>582.0</v>
      </c>
      <c r="AK13" s="119">
        <v>259.0</v>
      </c>
      <c r="AL13" s="119">
        <v>6.0</v>
      </c>
      <c r="AM13" s="121">
        <v>59720.0</v>
      </c>
      <c r="AN13" s="131">
        <v>37363.0</v>
      </c>
      <c r="AO13" s="119">
        <v>40.0</v>
      </c>
      <c r="AP13" s="119">
        <v>7.0</v>
      </c>
      <c r="AQ13" s="119">
        <v>6388.0</v>
      </c>
      <c r="AR13" s="119">
        <v>978.0</v>
      </c>
      <c r="AS13" s="119">
        <v>27.0</v>
      </c>
      <c r="AT13" s="119">
        <v>978.0</v>
      </c>
      <c r="AU13" s="120">
        <v>0.0</v>
      </c>
      <c r="AV13" s="120">
        <v>2624.0</v>
      </c>
      <c r="AW13" s="120">
        <v>67698.0</v>
      </c>
      <c r="AX13" s="123">
        <v>0.03876037696830039</v>
      </c>
      <c r="AY13" s="123">
        <v>0.9612396230316996</v>
      </c>
      <c r="AZ13" s="116"/>
      <c r="BA13" s="116"/>
      <c r="BB13" s="116"/>
      <c r="BC13" s="116"/>
      <c r="BD13" s="116"/>
      <c r="BE13" s="116"/>
      <c r="BF13" s="116"/>
      <c r="BG13" s="116"/>
    </row>
    <row r="14" ht="15.75" customHeight="1">
      <c r="A14" s="112"/>
      <c r="B14" s="38" t="s">
        <v>52</v>
      </c>
      <c r="C14" s="113">
        <v>145.0</v>
      </c>
      <c r="D14" s="175">
        <v>2600.0</v>
      </c>
      <c r="E14" s="113">
        <v>12.0</v>
      </c>
      <c r="F14" s="180">
        <v>548.0</v>
      </c>
      <c r="G14" s="113">
        <v>6015.0</v>
      </c>
      <c r="H14" s="177">
        <v>5288.0</v>
      </c>
      <c r="I14" s="113">
        <v>1356.0</v>
      </c>
      <c r="J14" s="113">
        <v>348.0</v>
      </c>
      <c r="K14" s="113">
        <v>0.0</v>
      </c>
      <c r="L14" s="113">
        <v>232214.0</v>
      </c>
      <c r="M14" s="113">
        <v>219480.0</v>
      </c>
      <c r="N14" s="113">
        <v>391.0</v>
      </c>
      <c r="O14" s="113">
        <v>24713.0</v>
      </c>
      <c r="P14" s="113">
        <v>9028.0</v>
      </c>
      <c r="Q14" s="113">
        <v>579.0</v>
      </c>
      <c r="R14" s="113">
        <v>460.0</v>
      </c>
      <c r="S14" s="113">
        <v>1.0</v>
      </c>
      <c r="T14" s="114">
        <f t="shared" si="5"/>
        <v>9320</v>
      </c>
      <c r="U14" s="114">
        <f t="shared" si="6"/>
        <v>6992</v>
      </c>
      <c r="V14" s="114">
        <f t="shared" si="7"/>
        <v>451694</v>
      </c>
      <c r="W14" s="114">
        <f t="shared" si="8"/>
        <v>35172</v>
      </c>
      <c r="X14" s="114">
        <f t="shared" si="1"/>
        <v>16312</v>
      </c>
      <c r="Y14" s="114">
        <f t="shared" si="2"/>
        <v>416522</v>
      </c>
      <c r="Z14" s="115">
        <f t="shared" si="3"/>
        <v>0.03916239718</v>
      </c>
      <c r="AA14" s="115">
        <f t="shared" si="4"/>
        <v>0.9608376028</v>
      </c>
      <c r="AB14" s="178"/>
      <c r="AC14" s="116"/>
      <c r="AD14" s="117"/>
      <c r="AE14" s="118" t="s">
        <v>52</v>
      </c>
      <c r="AF14" s="119">
        <v>18.0</v>
      </c>
      <c r="AG14" s="119">
        <v>1183.0</v>
      </c>
      <c r="AH14" s="119">
        <v>1326.0</v>
      </c>
      <c r="AI14" s="120">
        <v>0.0</v>
      </c>
      <c r="AJ14" s="119">
        <v>15.0</v>
      </c>
      <c r="AK14" s="119">
        <v>132.0</v>
      </c>
      <c r="AL14" s="119">
        <v>36.0</v>
      </c>
      <c r="AM14" s="121">
        <v>31011.0</v>
      </c>
      <c r="AN14" s="131">
        <v>21424.0</v>
      </c>
      <c r="AO14" s="119">
        <v>324.0</v>
      </c>
      <c r="AP14" s="119">
        <v>1543.0</v>
      </c>
      <c r="AQ14" s="119">
        <v>604.0</v>
      </c>
      <c r="AR14" s="119">
        <v>115.0</v>
      </c>
      <c r="AS14" s="119">
        <v>23.0</v>
      </c>
      <c r="AT14" s="119">
        <v>115.0</v>
      </c>
      <c r="AU14" s="120">
        <v>1183.0</v>
      </c>
      <c r="AV14" s="120">
        <v>2470.0</v>
      </c>
      <c r="AW14" s="120">
        <v>253001.0</v>
      </c>
      <c r="AX14" s="123">
        <v>0.009762807261631376</v>
      </c>
      <c r="AY14" s="123">
        <v>0.9902371927383686</v>
      </c>
      <c r="AZ14" s="116"/>
      <c r="BA14" s="116"/>
      <c r="BB14" s="116"/>
      <c r="BC14" s="116"/>
      <c r="BD14" s="116"/>
      <c r="BE14" s="116"/>
      <c r="BF14" s="116"/>
      <c r="BG14" s="116"/>
    </row>
    <row r="15" ht="15.75" customHeight="1">
      <c r="A15" s="112"/>
      <c r="B15" s="38" t="s">
        <v>53</v>
      </c>
      <c r="C15" s="113">
        <v>0.0</v>
      </c>
      <c r="D15" s="175">
        <v>1758.0</v>
      </c>
      <c r="E15" s="113">
        <v>0.0</v>
      </c>
      <c r="F15" s="180">
        <v>109.0</v>
      </c>
      <c r="G15" s="113">
        <v>347.0</v>
      </c>
      <c r="H15" s="177">
        <v>137.0</v>
      </c>
      <c r="I15" s="113">
        <v>21.0</v>
      </c>
      <c r="J15" s="113">
        <v>14.0</v>
      </c>
      <c r="K15" s="113">
        <v>0.0</v>
      </c>
      <c r="L15" s="113">
        <v>21677.0</v>
      </c>
      <c r="M15" s="113">
        <v>18168.0</v>
      </c>
      <c r="N15" s="113">
        <v>0.0</v>
      </c>
      <c r="O15" s="113">
        <v>12.0</v>
      </c>
      <c r="P15" s="113">
        <v>1830.0</v>
      </c>
      <c r="Q15" s="113">
        <v>2.0</v>
      </c>
      <c r="R15" s="113">
        <v>0.0</v>
      </c>
      <c r="S15" s="113">
        <v>0.0</v>
      </c>
      <c r="T15" s="114">
        <f t="shared" si="5"/>
        <v>2214</v>
      </c>
      <c r="U15" s="114">
        <f t="shared" si="6"/>
        <v>172</v>
      </c>
      <c r="V15" s="114">
        <f t="shared" si="7"/>
        <v>39845</v>
      </c>
      <c r="W15" s="114">
        <f t="shared" si="8"/>
        <v>1844</v>
      </c>
      <c r="X15" s="114">
        <f t="shared" si="1"/>
        <v>2386</v>
      </c>
      <c r="Y15" s="114">
        <f t="shared" si="2"/>
        <v>38001</v>
      </c>
      <c r="Z15" s="115">
        <f t="shared" si="3"/>
        <v>0.06278782137</v>
      </c>
      <c r="AA15" s="115">
        <f t="shared" si="4"/>
        <v>0.9372121786</v>
      </c>
      <c r="AB15" s="178"/>
      <c r="AC15" s="116"/>
      <c r="AD15" s="117"/>
      <c r="AE15" s="118" t="s">
        <v>53</v>
      </c>
      <c r="AF15" s="119">
        <v>0.0</v>
      </c>
      <c r="AG15" s="119">
        <v>2092.0</v>
      </c>
      <c r="AH15" s="119">
        <v>647.0</v>
      </c>
      <c r="AI15" s="120">
        <v>167.0</v>
      </c>
      <c r="AJ15" s="119">
        <v>172.0</v>
      </c>
      <c r="AK15" s="119">
        <v>162.0</v>
      </c>
      <c r="AL15" s="119">
        <v>17.0</v>
      </c>
      <c r="AM15" s="121">
        <v>22205.0</v>
      </c>
      <c r="AN15" s="131">
        <v>15763.0</v>
      </c>
      <c r="AO15" s="119">
        <v>52.0</v>
      </c>
      <c r="AP15" s="119">
        <v>93.0</v>
      </c>
      <c r="AQ15" s="119">
        <v>652.0</v>
      </c>
      <c r="AR15" s="119">
        <v>94.0</v>
      </c>
      <c r="AS15" s="119">
        <v>88.0</v>
      </c>
      <c r="AT15" s="119">
        <v>94.0</v>
      </c>
      <c r="AU15" s="120">
        <v>2092.0</v>
      </c>
      <c r="AV15" s="120">
        <v>1923.0</v>
      </c>
      <c r="AW15" s="120">
        <v>248069.0</v>
      </c>
      <c r="AX15" s="123">
        <v>0.00775187548625584</v>
      </c>
      <c r="AY15" s="123">
        <v>0.9922481245137441</v>
      </c>
      <c r="AZ15" s="116"/>
      <c r="BA15" s="116"/>
      <c r="BB15" s="116"/>
      <c r="BC15" s="116"/>
      <c r="BD15" s="116"/>
      <c r="BE15" s="116"/>
      <c r="BF15" s="116"/>
      <c r="BG15" s="116"/>
    </row>
    <row r="16" ht="15.75" customHeight="1">
      <c r="A16" s="112"/>
      <c r="B16" s="38" t="s">
        <v>54</v>
      </c>
      <c r="C16" s="113">
        <v>0.0</v>
      </c>
      <c r="D16" s="175">
        <v>12723.0</v>
      </c>
      <c r="E16" s="113"/>
      <c r="F16" s="180">
        <v>0.0</v>
      </c>
      <c r="G16" s="113">
        <v>0.0</v>
      </c>
      <c r="H16" s="177">
        <v>1533.0</v>
      </c>
      <c r="I16" s="113">
        <v>186.0</v>
      </c>
      <c r="J16" s="113">
        <v>148.0</v>
      </c>
      <c r="K16" s="113">
        <v>52.0</v>
      </c>
      <c r="L16" s="113">
        <v>140440.0</v>
      </c>
      <c r="M16" s="113">
        <v>68156.0</v>
      </c>
      <c r="N16" s="113">
        <v>4389.0</v>
      </c>
      <c r="O16" s="113">
        <v>1343.0</v>
      </c>
      <c r="P16" s="113">
        <v>62571.0</v>
      </c>
      <c r="Q16" s="113">
        <v>1424.0</v>
      </c>
      <c r="R16" s="113">
        <v>18.0</v>
      </c>
      <c r="S16" s="113">
        <v>186.0</v>
      </c>
      <c r="T16" s="114">
        <f t="shared" si="5"/>
        <v>12723</v>
      </c>
      <c r="U16" s="114">
        <f t="shared" si="6"/>
        <v>1919</v>
      </c>
      <c r="V16" s="114">
        <f t="shared" si="7"/>
        <v>208596</v>
      </c>
      <c r="W16" s="114">
        <f t="shared" si="8"/>
        <v>69931</v>
      </c>
      <c r="X16" s="114">
        <f t="shared" si="1"/>
        <v>14642</v>
      </c>
      <c r="Y16" s="114">
        <f t="shared" si="2"/>
        <v>138665</v>
      </c>
      <c r="Z16" s="115">
        <f t="shared" si="3"/>
        <v>0.1055926153</v>
      </c>
      <c r="AA16" s="115">
        <f t="shared" si="4"/>
        <v>0.8944073847</v>
      </c>
      <c r="AB16" s="178"/>
      <c r="AC16" s="116"/>
      <c r="AD16" s="117"/>
      <c r="AE16" s="118" t="s">
        <v>54</v>
      </c>
      <c r="AF16" s="119">
        <v>10996.0</v>
      </c>
      <c r="AG16" s="119">
        <v>12.0</v>
      </c>
      <c r="AH16" s="119">
        <v>2863.0</v>
      </c>
      <c r="AI16" s="120">
        <v>0.0</v>
      </c>
      <c r="AJ16" s="119">
        <v>45.0</v>
      </c>
      <c r="AK16" s="119">
        <v>972.0</v>
      </c>
      <c r="AL16" s="119">
        <v>255.0</v>
      </c>
      <c r="AM16" s="121">
        <v>359304.0</v>
      </c>
      <c r="AN16" s="131">
        <v>78524.0</v>
      </c>
      <c r="AO16" s="119">
        <v>10997.0</v>
      </c>
      <c r="AP16" s="119">
        <v>15631.0</v>
      </c>
      <c r="AQ16" s="119">
        <v>21405.0</v>
      </c>
      <c r="AR16" s="119">
        <v>23.0</v>
      </c>
      <c r="AS16" s="119">
        <v>69.0</v>
      </c>
      <c r="AT16" s="119">
        <v>23.0</v>
      </c>
      <c r="AU16" s="120">
        <v>12.0</v>
      </c>
      <c r="AV16" s="120">
        <v>584.0</v>
      </c>
      <c r="AW16" s="120">
        <v>18981.0</v>
      </c>
      <c r="AX16" s="123">
        <v>0.030767609714978137</v>
      </c>
      <c r="AY16" s="123">
        <v>0.9692323902850218</v>
      </c>
      <c r="AZ16" s="116"/>
      <c r="BA16" s="116"/>
      <c r="BB16" s="116"/>
      <c r="BC16" s="116"/>
      <c r="BD16" s="116"/>
      <c r="BE16" s="116"/>
      <c r="BF16" s="116"/>
      <c r="BG16" s="116"/>
    </row>
    <row r="17" ht="15.75" customHeight="1">
      <c r="A17" s="112"/>
      <c r="B17" s="38" t="s">
        <v>55</v>
      </c>
      <c r="C17" s="188">
        <v>109.0</v>
      </c>
      <c r="D17" s="175">
        <v>1842.0</v>
      </c>
      <c r="E17" s="113">
        <v>0.0</v>
      </c>
      <c r="F17" s="180">
        <v>42.0</v>
      </c>
      <c r="G17" s="113">
        <v>3.0</v>
      </c>
      <c r="H17" s="177">
        <v>49.0</v>
      </c>
      <c r="I17" s="113">
        <v>30.0</v>
      </c>
      <c r="J17" s="113">
        <v>13.0</v>
      </c>
      <c r="K17" s="113">
        <v>2.0</v>
      </c>
      <c r="L17" s="113">
        <v>26095.0</v>
      </c>
      <c r="M17" s="113">
        <v>58967.0</v>
      </c>
      <c r="N17" s="113">
        <v>112.0</v>
      </c>
      <c r="O17" s="113">
        <v>277.0</v>
      </c>
      <c r="P17" s="113">
        <v>3110.0</v>
      </c>
      <c r="Q17" s="113">
        <v>2.0</v>
      </c>
      <c r="R17" s="113">
        <v>1.0</v>
      </c>
      <c r="S17" s="113">
        <v>12.0</v>
      </c>
      <c r="T17" s="114">
        <f t="shared" si="5"/>
        <v>1996</v>
      </c>
      <c r="U17" s="114">
        <f t="shared" si="6"/>
        <v>94</v>
      </c>
      <c r="V17" s="114">
        <f t="shared" si="7"/>
        <v>85062</v>
      </c>
      <c r="W17" s="114">
        <f t="shared" si="8"/>
        <v>3514</v>
      </c>
      <c r="X17" s="114">
        <f t="shared" si="1"/>
        <v>2090</v>
      </c>
      <c r="Y17" s="114">
        <f t="shared" si="2"/>
        <v>81548</v>
      </c>
      <c r="Z17" s="115">
        <f t="shared" si="3"/>
        <v>0.02562907735</v>
      </c>
      <c r="AA17" s="115">
        <f t="shared" si="4"/>
        <v>0.9743709226</v>
      </c>
      <c r="AB17" s="178"/>
      <c r="AC17" s="116"/>
      <c r="AD17" s="117"/>
      <c r="AE17" s="118" t="s">
        <v>55</v>
      </c>
      <c r="AF17" s="119">
        <v>0.0</v>
      </c>
      <c r="AG17" s="119">
        <v>1.0</v>
      </c>
      <c r="AH17" s="119">
        <v>15512.0</v>
      </c>
      <c r="AI17" s="120">
        <v>114.0</v>
      </c>
      <c r="AJ17" s="119">
        <v>294.0</v>
      </c>
      <c r="AK17" s="119">
        <v>224.0</v>
      </c>
      <c r="AL17" s="119">
        <v>0.0</v>
      </c>
      <c r="AM17" s="121">
        <v>141751.0</v>
      </c>
      <c r="AN17" s="131">
        <v>22627.0</v>
      </c>
      <c r="AO17" s="119">
        <v>4389.0</v>
      </c>
      <c r="AP17" s="119">
        <v>1343.0</v>
      </c>
      <c r="AQ17" s="119">
        <v>62571.0</v>
      </c>
      <c r="AR17" s="119">
        <v>695.0</v>
      </c>
      <c r="AS17" s="119">
        <v>916.0</v>
      </c>
      <c r="AT17" s="119">
        <v>695.0</v>
      </c>
      <c r="AU17" s="120">
        <v>1.0</v>
      </c>
      <c r="AV17" s="120">
        <v>1567.0</v>
      </c>
      <c r="AW17" s="120">
        <v>195797.0</v>
      </c>
      <c r="AX17" s="123">
        <v>0.008003186974264161</v>
      </c>
      <c r="AY17" s="123">
        <v>0.9919968130257358</v>
      </c>
      <c r="AZ17" s="116"/>
      <c r="BA17" s="116"/>
      <c r="BB17" s="116"/>
      <c r="BC17" s="116"/>
      <c r="BD17" s="116"/>
      <c r="BE17" s="116"/>
      <c r="BF17" s="116"/>
      <c r="BG17" s="116"/>
    </row>
    <row r="18" ht="15.75" customHeight="1">
      <c r="A18" s="112"/>
      <c r="B18" s="38" t="s">
        <v>56</v>
      </c>
      <c r="C18" s="188">
        <v>0.0</v>
      </c>
      <c r="D18" s="175">
        <v>4110.0</v>
      </c>
      <c r="E18" s="113">
        <v>0.0</v>
      </c>
      <c r="F18" s="180">
        <v>193.0</v>
      </c>
      <c r="G18" s="113">
        <v>674.0</v>
      </c>
      <c r="H18" s="177">
        <v>355.0</v>
      </c>
      <c r="I18" s="113">
        <v>340.0</v>
      </c>
      <c r="J18" s="113">
        <v>116.0</v>
      </c>
      <c r="K18" s="113">
        <v>0.0</v>
      </c>
      <c r="L18" s="113">
        <v>54042.0</v>
      </c>
      <c r="M18" s="113">
        <v>173091.0</v>
      </c>
      <c r="N18" s="113">
        <v>25.0</v>
      </c>
      <c r="O18" s="113">
        <v>354.0</v>
      </c>
      <c r="P18" s="113">
        <v>9599.0</v>
      </c>
      <c r="Q18" s="113">
        <v>177.0</v>
      </c>
      <c r="R18" s="113">
        <v>282.0</v>
      </c>
      <c r="S18" s="113">
        <v>177.0</v>
      </c>
      <c r="T18" s="114">
        <f t="shared" si="5"/>
        <v>4977</v>
      </c>
      <c r="U18" s="114">
        <f t="shared" si="6"/>
        <v>811</v>
      </c>
      <c r="V18" s="114">
        <f t="shared" si="7"/>
        <v>227133</v>
      </c>
      <c r="W18" s="114">
        <f t="shared" si="8"/>
        <v>10614</v>
      </c>
      <c r="X18" s="114">
        <f t="shared" si="1"/>
        <v>5788</v>
      </c>
      <c r="Y18" s="114">
        <f t="shared" si="2"/>
        <v>216519</v>
      </c>
      <c r="Z18" s="115">
        <f t="shared" si="3"/>
        <v>0.02673206508</v>
      </c>
      <c r="AA18" s="115">
        <f t="shared" si="4"/>
        <v>0.9732679349</v>
      </c>
      <c r="AB18" s="178"/>
      <c r="AC18" s="116"/>
      <c r="AD18" s="117"/>
      <c r="AE18" s="118" t="s">
        <v>56</v>
      </c>
      <c r="AF18" s="119">
        <v>3.0</v>
      </c>
      <c r="AG18" s="119">
        <v>0.0</v>
      </c>
      <c r="AH18" s="119">
        <v>669.0</v>
      </c>
      <c r="AI18" s="120">
        <v>9.0</v>
      </c>
      <c r="AJ18" s="119">
        <v>4.0</v>
      </c>
      <c r="AK18" s="119">
        <v>53.0</v>
      </c>
      <c r="AL18" s="119">
        <v>3.0</v>
      </c>
      <c r="AM18" s="121">
        <v>26178.0</v>
      </c>
      <c r="AN18" s="131">
        <v>23204.0</v>
      </c>
      <c r="AO18" s="119">
        <v>11.0</v>
      </c>
      <c r="AP18" s="119">
        <v>54.0</v>
      </c>
      <c r="AQ18" s="119">
        <v>640.0</v>
      </c>
      <c r="AR18" s="119">
        <v>6.0</v>
      </c>
      <c r="AS18" s="119">
        <v>31.0</v>
      </c>
      <c r="AT18" s="119">
        <v>6.0</v>
      </c>
      <c r="AU18" s="120">
        <v>0.0</v>
      </c>
      <c r="AV18" s="120">
        <v>2341.0</v>
      </c>
      <c r="AW18" s="120">
        <v>188138.0</v>
      </c>
      <c r="AX18" s="123">
        <v>0.012442993972509541</v>
      </c>
      <c r="AY18" s="123">
        <v>0.9875570060274904</v>
      </c>
      <c r="AZ18" s="116"/>
      <c r="BA18" s="116"/>
      <c r="BB18" s="116"/>
      <c r="BC18" s="116"/>
      <c r="BD18" s="116"/>
      <c r="BE18" s="116"/>
      <c r="BF18" s="116"/>
      <c r="BG18" s="116"/>
    </row>
    <row r="19" ht="15.75" customHeight="1">
      <c r="A19" s="112"/>
      <c r="B19" s="38" t="s">
        <v>57</v>
      </c>
      <c r="C19" s="188">
        <v>0.0</v>
      </c>
      <c r="D19" s="175">
        <v>4963.0</v>
      </c>
      <c r="E19" s="113">
        <v>12.0</v>
      </c>
      <c r="F19" s="180">
        <v>738.0</v>
      </c>
      <c r="G19" s="113">
        <v>680.0</v>
      </c>
      <c r="H19" s="177">
        <v>365.0</v>
      </c>
      <c r="I19" s="113">
        <v>50.0</v>
      </c>
      <c r="J19" s="113">
        <v>25.0</v>
      </c>
      <c r="K19" s="113">
        <v>0.0</v>
      </c>
      <c r="L19" s="113">
        <v>135538.0</v>
      </c>
      <c r="M19" s="113">
        <v>437627.0</v>
      </c>
      <c r="N19" s="113">
        <v>5959.0</v>
      </c>
      <c r="O19" s="113">
        <v>12507.0</v>
      </c>
      <c r="P19" s="113">
        <v>431.0</v>
      </c>
      <c r="Q19" s="113">
        <v>42.0</v>
      </c>
      <c r="R19" s="113">
        <v>5.0</v>
      </c>
      <c r="S19" s="113">
        <v>12.0</v>
      </c>
      <c r="T19" s="114">
        <f t="shared" si="5"/>
        <v>6393</v>
      </c>
      <c r="U19" s="114">
        <f t="shared" si="6"/>
        <v>440</v>
      </c>
      <c r="V19" s="114">
        <f t="shared" si="7"/>
        <v>573165</v>
      </c>
      <c r="W19" s="114">
        <f t="shared" si="8"/>
        <v>18956</v>
      </c>
      <c r="X19" s="114">
        <f t="shared" si="1"/>
        <v>6833</v>
      </c>
      <c r="Y19" s="114">
        <f t="shared" si="2"/>
        <v>554209</v>
      </c>
      <c r="Z19" s="115">
        <f t="shared" si="3"/>
        <v>0.01232928372</v>
      </c>
      <c r="AA19" s="115">
        <f t="shared" si="4"/>
        <v>0.9876707163</v>
      </c>
      <c r="AB19" s="178"/>
      <c r="AC19" s="116"/>
      <c r="AD19" s="117"/>
      <c r="AE19" s="118" t="s">
        <v>57</v>
      </c>
      <c r="AF19" s="119">
        <v>0.0</v>
      </c>
      <c r="AG19" s="119">
        <v>7.0</v>
      </c>
      <c r="AH19" s="119">
        <v>2425.0</v>
      </c>
      <c r="AI19" s="120">
        <v>0.0</v>
      </c>
      <c r="AJ19" s="119">
        <v>2.0</v>
      </c>
      <c r="AK19" s="119">
        <v>1.0</v>
      </c>
      <c r="AL19" s="119">
        <v>0.0</v>
      </c>
      <c r="AM19" s="121">
        <v>54496.0</v>
      </c>
      <c r="AN19" s="131">
        <v>27514.0</v>
      </c>
      <c r="AO19" s="119">
        <v>8.0</v>
      </c>
      <c r="AP19" s="119">
        <v>239.0</v>
      </c>
      <c r="AQ19" s="119">
        <v>267.0</v>
      </c>
      <c r="AR19" s="119">
        <v>3.0</v>
      </c>
      <c r="AS19" s="119">
        <v>37.0</v>
      </c>
      <c r="AT19" s="119">
        <v>3.0</v>
      </c>
      <c r="AU19" s="120">
        <v>7.0</v>
      </c>
      <c r="AV19" s="120">
        <v>5092.0</v>
      </c>
      <c r="AW19" s="120">
        <v>472234.0</v>
      </c>
      <c r="AX19" s="123">
        <v>0.010782789888063969</v>
      </c>
      <c r="AY19" s="123">
        <v>0.9892172101119361</v>
      </c>
      <c r="AZ19" s="116"/>
      <c r="BA19" s="116"/>
      <c r="BB19" s="116"/>
      <c r="BC19" s="116"/>
      <c r="BD19" s="116"/>
      <c r="BE19" s="116"/>
      <c r="BF19" s="116"/>
      <c r="BG19" s="116"/>
    </row>
    <row r="20" ht="15.75" customHeight="1">
      <c r="A20" s="179"/>
      <c r="B20" s="38" t="s">
        <v>58</v>
      </c>
      <c r="C20" s="188">
        <v>10996.0</v>
      </c>
      <c r="D20" s="175">
        <v>2863.0</v>
      </c>
      <c r="E20" s="113">
        <v>36.0</v>
      </c>
      <c r="F20" s="176">
        <v>0.0</v>
      </c>
      <c r="G20" s="113">
        <v>0.0</v>
      </c>
      <c r="H20" s="189">
        <v>2710.0</v>
      </c>
      <c r="I20" s="113">
        <v>3823.0</v>
      </c>
      <c r="J20" s="113">
        <v>45.0</v>
      </c>
      <c r="K20" s="113">
        <v>83.0</v>
      </c>
      <c r="L20" s="113">
        <v>380152.0</v>
      </c>
      <c r="M20" s="113">
        <v>181277.0</v>
      </c>
      <c r="N20" s="113">
        <v>10997.0</v>
      </c>
      <c r="O20" s="113">
        <v>15631.0</v>
      </c>
      <c r="P20" s="113">
        <v>21405.0</v>
      </c>
      <c r="Q20" s="113">
        <v>220.0</v>
      </c>
      <c r="R20" s="113">
        <v>119.0</v>
      </c>
      <c r="S20" s="113">
        <v>94.0</v>
      </c>
      <c r="T20" s="114">
        <f t="shared" si="5"/>
        <v>13895</v>
      </c>
      <c r="U20" s="114">
        <f t="shared" si="6"/>
        <v>6661</v>
      </c>
      <c r="V20" s="114">
        <f t="shared" si="7"/>
        <v>561429</v>
      </c>
      <c r="W20" s="114">
        <f t="shared" si="8"/>
        <v>48466</v>
      </c>
      <c r="X20" s="114">
        <f t="shared" si="1"/>
        <v>20556</v>
      </c>
      <c r="Y20" s="114">
        <f t="shared" si="2"/>
        <v>512963</v>
      </c>
      <c r="Z20" s="115">
        <f t="shared" si="3"/>
        <v>0.0400730657</v>
      </c>
      <c r="AA20" s="115">
        <f t="shared" si="4"/>
        <v>0.9599269343</v>
      </c>
      <c r="AB20" s="178"/>
      <c r="AC20" s="116"/>
      <c r="AD20" s="117"/>
      <c r="AE20" s="118" t="s">
        <v>58</v>
      </c>
      <c r="AF20" s="119">
        <v>0.0</v>
      </c>
      <c r="AG20" s="119">
        <v>982.0</v>
      </c>
      <c r="AH20" s="119">
        <v>6525.0</v>
      </c>
      <c r="AI20" s="120">
        <v>197.0</v>
      </c>
      <c r="AJ20" s="119">
        <v>1733.0</v>
      </c>
      <c r="AK20" s="119">
        <v>937.0</v>
      </c>
      <c r="AL20" s="119">
        <v>207.0</v>
      </c>
      <c r="AM20" s="121">
        <v>131694.0</v>
      </c>
      <c r="AN20" s="131">
        <v>27514.0</v>
      </c>
      <c r="AO20" s="119">
        <v>1930.0</v>
      </c>
      <c r="AP20" s="119">
        <v>2.0</v>
      </c>
      <c r="AQ20" s="119">
        <v>44.0</v>
      </c>
      <c r="AR20" s="119">
        <v>161.0</v>
      </c>
      <c r="AS20" s="119">
        <v>582.0</v>
      </c>
      <c r="AT20" s="119">
        <v>161.0</v>
      </c>
      <c r="AU20" s="120">
        <v>982.0</v>
      </c>
      <c r="AV20" s="120">
        <v>51221.0</v>
      </c>
      <c r="AW20" s="120">
        <v>268060.0</v>
      </c>
      <c r="AX20" s="123">
        <v>0.19108035514437066</v>
      </c>
      <c r="AY20" s="123">
        <v>0.8089196448556293</v>
      </c>
      <c r="AZ20" s="116"/>
      <c r="BA20" s="116"/>
      <c r="BB20" s="116"/>
      <c r="BC20" s="116"/>
      <c r="BD20" s="116"/>
      <c r="BE20" s="116"/>
      <c r="BF20" s="116"/>
      <c r="BG20" s="116"/>
    </row>
    <row r="21" ht="15.75" customHeight="1">
      <c r="A21" s="179"/>
      <c r="B21" s="38" t="s">
        <v>59</v>
      </c>
      <c r="C21" s="188">
        <v>0.0</v>
      </c>
      <c r="D21" s="175">
        <v>8256.0</v>
      </c>
      <c r="E21" s="113">
        <v>0.0</v>
      </c>
      <c r="F21" s="180">
        <v>207.0</v>
      </c>
      <c r="G21" s="113">
        <v>724.0</v>
      </c>
      <c r="H21" s="177">
        <v>97.0</v>
      </c>
      <c r="I21" s="113">
        <v>190.0</v>
      </c>
      <c r="J21" s="113">
        <v>290.0</v>
      </c>
      <c r="K21" s="113">
        <v>0.0</v>
      </c>
      <c r="L21" s="113">
        <v>46217.0</v>
      </c>
      <c r="M21" s="113">
        <v>22353.0</v>
      </c>
      <c r="N21" s="113">
        <v>892.0</v>
      </c>
      <c r="O21" s="113">
        <v>2356.0</v>
      </c>
      <c r="P21" s="113">
        <v>18656.0</v>
      </c>
      <c r="Q21" s="113">
        <v>139.0</v>
      </c>
      <c r="R21" s="113">
        <v>696.0</v>
      </c>
      <c r="S21" s="113">
        <v>32.0</v>
      </c>
      <c r="T21" s="114">
        <f t="shared" si="5"/>
        <v>9187</v>
      </c>
      <c r="U21" s="114">
        <f t="shared" si="6"/>
        <v>577</v>
      </c>
      <c r="V21" s="114">
        <f t="shared" si="7"/>
        <v>68570</v>
      </c>
      <c r="W21" s="114">
        <f t="shared" si="8"/>
        <v>22771</v>
      </c>
      <c r="X21" s="114">
        <f t="shared" si="1"/>
        <v>9764</v>
      </c>
      <c r="Y21" s="114">
        <f t="shared" si="2"/>
        <v>45799</v>
      </c>
      <c r="Z21" s="115">
        <f t="shared" si="3"/>
        <v>0.2131924278</v>
      </c>
      <c r="AA21" s="115">
        <f t="shared" si="4"/>
        <v>0.7868075722</v>
      </c>
      <c r="AB21" s="178"/>
      <c r="AC21" s="116"/>
      <c r="AD21" s="117"/>
      <c r="AE21" s="118" t="s">
        <v>59</v>
      </c>
      <c r="AF21" s="119">
        <v>0.0</v>
      </c>
      <c r="AG21" s="119">
        <v>59.0</v>
      </c>
      <c r="AH21" s="119">
        <v>4654.0</v>
      </c>
      <c r="AI21" s="120">
        <v>26.0</v>
      </c>
      <c r="AJ21" s="119">
        <v>3.0</v>
      </c>
      <c r="AK21" s="119">
        <v>24.0</v>
      </c>
      <c r="AL21" s="119">
        <v>2.0</v>
      </c>
      <c r="AM21" s="121">
        <v>48858.0</v>
      </c>
      <c r="AN21" s="131">
        <v>32935.0</v>
      </c>
      <c r="AO21" s="119">
        <v>456.0</v>
      </c>
      <c r="AP21" s="119">
        <v>1186.0</v>
      </c>
      <c r="AQ21" s="119">
        <v>2559.0</v>
      </c>
      <c r="AR21" s="119">
        <v>22.0</v>
      </c>
      <c r="AS21" s="119">
        <v>36.0</v>
      </c>
      <c r="AT21" s="119">
        <v>22.0</v>
      </c>
      <c r="AU21" s="120">
        <v>59.0</v>
      </c>
      <c r="AV21" s="186">
        <v>14065.0</v>
      </c>
      <c r="AW21" s="186">
        <v>377983.0</v>
      </c>
      <c r="AX21" s="187">
        <v>0.037210668204654705</v>
      </c>
      <c r="AY21" s="187">
        <v>0.9627893317953453</v>
      </c>
      <c r="AZ21" s="116"/>
      <c r="BA21" s="116"/>
      <c r="BB21" s="116"/>
      <c r="BC21" s="116"/>
      <c r="BD21" s="116"/>
      <c r="BE21" s="116"/>
      <c r="BF21" s="116"/>
      <c r="BG21" s="116"/>
    </row>
    <row r="22" ht="15.75" customHeight="1">
      <c r="A22" s="179"/>
      <c r="B22" s="38" t="s">
        <v>60</v>
      </c>
      <c r="C22" s="113">
        <v>1.0</v>
      </c>
      <c r="D22" s="175">
        <v>1057.0</v>
      </c>
      <c r="E22" s="113">
        <v>5.0</v>
      </c>
      <c r="F22" s="180">
        <v>25.0</v>
      </c>
      <c r="G22" s="113">
        <v>71.0</v>
      </c>
      <c r="H22" s="177">
        <v>8.0</v>
      </c>
      <c r="I22" s="113">
        <v>48.0</v>
      </c>
      <c r="J22" s="113">
        <v>26.0</v>
      </c>
      <c r="K22" s="113">
        <v>0.0</v>
      </c>
      <c r="L22" s="113">
        <v>49180.0</v>
      </c>
      <c r="M22" s="113">
        <v>33100.0</v>
      </c>
      <c r="N22" s="113">
        <v>874.0</v>
      </c>
      <c r="O22" s="113">
        <v>871.0</v>
      </c>
      <c r="P22" s="113">
        <v>1469.0</v>
      </c>
      <c r="Q22" s="113">
        <v>449.0</v>
      </c>
      <c r="R22" s="113">
        <v>0.0</v>
      </c>
      <c r="S22" s="113">
        <v>0.0</v>
      </c>
      <c r="T22" s="114">
        <f t="shared" si="5"/>
        <v>1159</v>
      </c>
      <c r="U22" s="114">
        <f t="shared" si="6"/>
        <v>82</v>
      </c>
      <c r="V22" s="114">
        <f t="shared" si="7"/>
        <v>82280</v>
      </c>
      <c r="W22" s="114">
        <f t="shared" si="8"/>
        <v>3663</v>
      </c>
      <c r="X22" s="114">
        <f t="shared" si="1"/>
        <v>1241</v>
      </c>
      <c r="Y22" s="114">
        <f t="shared" si="2"/>
        <v>78617</v>
      </c>
      <c r="Z22" s="115">
        <f t="shared" si="3"/>
        <v>0.01578538993</v>
      </c>
      <c r="AA22" s="115">
        <f t="shared" si="4"/>
        <v>0.9842146101</v>
      </c>
      <c r="AB22" s="178"/>
      <c r="AC22" s="116"/>
      <c r="AD22" s="117"/>
      <c r="AE22" s="118" t="s">
        <v>60</v>
      </c>
      <c r="AF22" s="119">
        <v>0.0</v>
      </c>
      <c r="AG22" s="119">
        <v>715.0</v>
      </c>
      <c r="AH22" s="119">
        <v>818.0</v>
      </c>
      <c r="AI22" s="120">
        <v>1.0</v>
      </c>
      <c r="AJ22" s="119">
        <v>56.0</v>
      </c>
      <c r="AK22" s="119">
        <v>114.0</v>
      </c>
      <c r="AL22" s="119">
        <v>191.0</v>
      </c>
      <c r="AM22" s="121">
        <v>46258.0</v>
      </c>
      <c r="AN22" s="131">
        <v>37050.0</v>
      </c>
      <c r="AO22" s="119">
        <v>297.0</v>
      </c>
      <c r="AP22" s="119">
        <v>960.0</v>
      </c>
      <c r="AQ22" s="119">
        <v>1229.0</v>
      </c>
      <c r="AR22" s="119">
        <v>11.0</v>
      </c>
      <c r="AS22" s="119">
        <v>18.0</v>
      </c>
      <c r="AT22" s="119">
        <v>11.0</v>
      </c>
      <c r="AU22" s="120">
        <v>715.0</v>
      </c>
      <c r="AV22" s="120">
        <v>1548.0</v>
      </c>
      <c r="AW22" s="120">
        <v>75586.0</v>
      </c>
      <c r="AX22" s="123">
        <v>0.02047998306564708</v>
      </c>
      <c r="AY22" s="123">
        <v>0.979520016934353</v>
      </c>
      <c r="AZ22" s="116"/>
      <c r="BA22" s="116"/>
      <c r="BB22" s="116"/>
      <c r="BC22" s="116"/>
      <c r="BD22" s="116"/>
      <c r="BE22" s="116"/>
      <c r="BF22" s="116"/>
      <c r="BG22" s="116"/>
    </row>
    <row r="23" ht="15.75" customHeight="1">
      <c r="A23" s="112"/>
      <c r="B23" s="38" t="s">
        <v>61</v>
      </c>
      <c r="C23" s="113">
        <v>0.0</v>
      </c>
      <c r="D23" s="175">
        <v>2900.0</v>
      </c>
      <c r="E23" s="185">
        <v>0.0</v>
      </c>
      <c r="F23" s="176">
        <v>56.0</v>
      </c>
      <c r="G23" s="113">
        <v>34.0</v>
      </c>
      <c r="H23" s="177">
        <v>177.0</v>
      </c>
      <c r="I23" s="113">
        <v>26.0</v>
      </c>
      <c r="J23" s="113">
        <v>0.0</v>
      </c>
      <c r="K23" s="113">
        <v>0.0</v>
      </c>
      <c r="L23" s="113">
        <v>12492.0</v>
      </c>
      <c r="M23" s="113">
        <v>15333.0</v>
      </c>
      <c r="N23" s="113">
        <v>0.0</v>
      </c>
      <c r="O23" s="113">
        <v>0.0</v>
      </c>
      <c r="P23" s="113">
        <v>3035.0</v>
      </c>
      <c r="Q23" s="113">
        <v>41.0</v>
      </c>
      <c r="R23" s="113">
        <v>14.0</v>
      </c>
      <c r="S23" s="113">
        <v>12.0</v>
      </c>
      <c r="T23" s="114">
        <f t="shared" si="5"/>
        <v>2990</v>
      </c>
      <c r="U23" s="114">
        <f t="shared" si="6"/>
        <v>203</v>
      </c>
      <c r="V23" s="114">
        <f t="shared" si="7"/>
        <v>27825</v>
      </c>
      <c r="W23" s="114">
        <f t="shared" si="8"/>
        <v>3102</v>
      </c>
      <c r="X23" s="114">
        <f t="shared" si="1"/>
        <v>3193</v>
      </c>
      <c r="Y23" s="114">
        <f t="shared" si="2"/>
        <v>24723</v>
      </c>
      <c r="Z23" s="115">
        <f t="shared" si="3"/>
        <v>0.129150993</v>
      </c>
      <c r="AA23" s="115">
        <f t="shared" si="4"/>
        <v>0.870849007</v>
      </c>
      <c r="AB23" s="178"/>
      <c r="AC23" s="116"/>
      <c r="AD23" s="117"/>
      <c r="AE23" s="190" t="s">
        <v>61</v>
      </c>
      <c r="AF23" s="141"/>
      <c r="AG23" s="142">
        <v>0.0</v>
      </c>
      <c r="AH23" s="141"/>
      <c r="AI23" s="141"/>
      <c r="AJ23" s="142">
        <v>0.0</v>
      </c>
      <c r="AK23" s="142">
        <v>0.0</v>
      </c>
      <c r="AL23" s="142">
        <v>0.0</v>
      </c>
      <c r="AM23" s="143">
        <v>0.0</v>
      </c>
      <c r="AN23" s="144">
        <v>5333.0</v>
      </c>
      <c r="AO23" s="142">
        <v>0.0</v>
      </c>
      <c r="AP23" s="142">
        <v>0.0</v>
      </c>
      <c r="AQ23" s="142">
        <v>0.0</v>
      </c>
      <c r="AR23" s="141"/>
      <c r="AS23" s="142">
        <v>0.0</v>
      </c>
      <c r="AT23" s="142">
        <v>0.0</v>
      </c>
      <c r="AU23" s="141"/>
      <c r="AV23" s="120">
        <v>432.0</v>
      </c>
      <c r="AW23" s="120">
        <v>61293.0</v>
      </c>
      <c r="AX23" s="123">
        <v>0.007048113161372424</v>
      </c>
      <c r="AY23" s="123">
        <v>0.9929518868386276</v>
      </c>
      <c r="AZ23" s="116"/>
      <c r="BA23" s="116"/>
      <c r="BB23" s="116"/>
      <c r="BC23" s="116"/>
      <c r="BD23" s="116"/>
      <c r="BE23" s="116"/>
      <c r="BF23" s="116"/>
      <c r="BG23" s="116"/>
    </row>
    <row r="24" ht="15.75" customHeight="1">
      <c r="A24" s="112"/>
      <c r="B24" s="38" t="s">
        <v>62</v>
      </c>
      <c r="C24" s="113">
        <v>861.0</v>
      </c>
      <c r="D24" s="175">
        <v>5924.0</v>
      </c>
      <c r="E24" s="113">
        <v>861.0</v>
      </c>
      <c r="F24" s="176">
        <v>153.0</v>
      </c>
      <c r="G24" s="188">
        <v>4857.0</v>
      </c>
      <c r="H24" s="177">
        <v>824.0</v>
      </c>
      <c r="I24" s="113">
        <v>849.0</v>
      </c>
      <c r="J24" s="113">
        <v>500.0</v>
      </c>
      <c r="K24" s="113">
        <v>0.0</v>
      </c>
      <c r="L24" s="113">
        <v>90477.0</v>
      </c>
      <c r="M24" s="113">
        <v>201518.0</v>
      </c>
      <c r="N24" s="113">
        <v>1793.0</v>
      </c>
      <c r="O24" s="113">
        <v>7679.0</v>
      </c>
      <c r="P24" s="113">
        <v>10114.0</v>
      </c>
      <c r="Q24" s="113">
        <v>1758.0</v>
      </c>
      <c r="R24" s="113">
        <v>7679.0</v>
      </c>
      <c r="S24" s="113">
        <v>1758.0</v>
      </c>
      <c r="T24" s="114">
        <f t="shared" si="5"/>
        <v>12656</v>
      </c>
      <c r="U24" s="114">
        <f t="shared" si="6"/>
        <v>2173</v>
      </c>
      <c r="V24" s="114">
        <f t="shared" si="7"/>
        <v>291995</v>
      </c>
      <c r="W24" s="114">
        <f t="shared" si="8"/>
        <v>30781</v>
      </c>
      <c r="X24" s="114">
        <f t="shared" si="1"/>
        <v>14829</v>
      </c>
      <c r="Y24" s="114">
        <f t="shared" si="2"/>
        <v>261214</v>
      </c>
      <c r="Z24" s="115">
        <f t="shared" si="3"/>
        <v>0.05676954528</v>
      </c>
      <c r="AA24" s="115">
        <f t="shared" si="4"/>
        <v>0.9432304547</v>
      </c>
      <c r="AB24" s="178"/>
      <c r="AC24" s="116"/>
      <c r="AD24" s="117"/>
      <c r="AE24" s="118" t="s">
        <v>62</v>
      </c>
      <c r="AF24" s="119">
        <v>338.0</v>
      </c>
      <c r="AG24" s="119">
        <v>7141.0</v>
      </c>
      <c r="AH24" s="119">
        <v>5609.0</v>
      </c>
      <c r="AI24" s="120">
        <v>67.0</v>
      </c>
      <c r="AJ24" s="119">
        <v>388.0</v>
      </c>
      <c r="AK24" s="119">
        <v>815.0</v>
      </c>
      <c r="AL24" s="119">
        <v>233.0</v>
      </c>
      <c r="AM24" s="121">
        <v>95562.0</v>
      </c>
      <c r="AN24" s="131">
        <v>134403.0</v>
      </c>
      <c r="AO24" s="119">
        <v>1213.0</v>
      </c>
      <c r="AP24" s="119">
        <v>585.0</v>
      </c>
      <c r="AQ24" s="119">
        <v>703.0</v>
      </c>
      <c r="AR24" s="119">
        <v>185.0</v>
      </c>
      <c r="AS24" s="119">
        <v>192.0</v>
      </c>
      <c r="AT24" s="119">
        <v>185.0</v>
      </c>
      <c r="AU24" s="120">
        <v>7141.0</v>
      </c>
      <c r="AV24" s="120">
        <v>14019.0</v>
      </c>
      <c r="AW24" s="120">
        <v>182304.0</v>
      </c>
      <c r="AX24" s="123">
        <v>0.07689902580305424</v>
      </c>
      <c r="AY24" s="123">
        <v>0.9231009741969458</v>
      </c>
      <c r="AZ24" s="116"/>
      <c r="BA24" s="116"/>
      <c r="BB24" s="116"/>
      <c r="BC24" s="116"/>
      <c r="BD24" s="116"/>
      <c r="BE24" s="116"/>
      <c r="BF24" s="116"/>
      <c r="BG24" s="116"/>
    </row>
    <row r="25" ht="15.75" customHeight="1">
      <c r="A25" s="191"/>
      <c r="B25" s="43" t="s">
        <v>63</v>
      </c>
      <c r="C25" s="192"/>
      <c r="D25" s="193">
        <v>2584.0</v>
      </c>
      <c r="E25" s="192">
        <v>20.0</v>
      </c>
      <c r="F25" s="176">
        <v>0.0</v>
      </c>
      <c r="G25" s="194">
        <v>0.0</v>
      </c>
      <c r="H25" s="177">
        <v>80.0</v>
      </c>
      <c r="I25" s="192">
        <v>3.0</v>
      </c>
      <c r="J25" s="192">
        <v>4.0</v>
      </c>
      <c r="K25" s="192">
        <v>0.0</v>
      </c>
      <c r="L25" s="192">
        <v>42222.0</v>
      </c>
      <c r="M25" s="192">
        <v>38869.0</v>
      </c>
      <c r="N25" s="192"/>
      <c r="O25" s="192"/>
      <c r="P25" s="192"/>
      <c r="Q25" s="192"/>
      <c r="R25" s="192">
        <v>7500.0</v>
      </c>
      <c r="S25" s="192">
        <v>5.0</v>
      </c>
      <c r="T25" s="114">
        <f t="shared" si="5"/>
        <v>2604</v>
      </c>
      <c r="U25" s="114">
        <f t="shared" si="6"/>
        <v>87</v>
      </c>
      <c r="V25" s="114">
        <f t="shared" si="7"/>
        <v>81091</v>
      </c>
      <c r="W25" s="114">
        <f t="shared" si="8"/>
        <v>7505</v>
      </c>
      <c r="X25" s="114">
        <f t="shared" si="1"/>
        <v>2691</v>
      </c>
      <c r="Y25" s="114">
        <f t="shared" si="2"/>
        <v>73586</v>
      </c>
      <c r="Z25" s="115">
        <f t="shared" si="3"/>
        <v>0.03656945615</v>
      </c>
      <c r="AA25" s="115">
        <f t="shared" si="4"/>
        <v>0.9634305439</v>
      </c>
      <c r="AB25" s="195"/>
      <c r="AC25" s="196"/>
      <c r="AD25" s="197"/>
      <c r="AE25" s="198" t="s">
        <v>63</v>
      </c>
      <c r="AF25" s="199">
        <v>29.0</v>
      </c>
      <c r="AG25" s="199">
        <v>1632.0</v>
      </c>
      <c r="AH25" s="199">
        <v>1017.0</v>
      </c>
      <c r="AI25" s="200">
        <v>14.0</v>
      </c>
      <c r="AJ25" s="199">
        <v>8.0</v>
      </c>
      <c r="AK25" s="199">
        <v>40.0</v>
      </c>
      <c r="AL25" s="199">
        <v>22.0</v>
      </c>
      <c r="AM25" s="201">
        <v>43677.0</v>
      </c>
      <c r="AN25" s="202">
        <v>32827.0</v>
      </c>
      <c r="AO25" s="199">
        <v>675.0</v>
      </c>
      <c r="AP25" s="199">
        <v>0.0</v>
      </c>
      <c r="AQ25" s="199">
        <v>368.0</v>
      </c>
      <c r="AR25" s="199">
        <v>34.0</v>
      </c>
      <c r="AS25" s="199">
        <v>1.0</v>
      </c>
      <c r="AT25" s="199">
        <v>34.0</v>
      </c>
      <c r="AU25" s="200">
        <v>1632.0</v>
      </c>
      <c r="AV25" s="200">
        <v>27.0</v>
      </c>
      <c r="AW25" s="200">
        <v>121841.0</v>
      </c>
      <c r="AX25" s="203">
        <v>2.2160028233517452E-4</v>
      </c>
      <c r="AY25" s="203">
        <v>0.9997783997176648</v>
      </c>
      <c r="AZ25" s="196"/>
      <c r="BA25" s="196"/>
      <c r="BB25" s="196"/>
      <c r="BC25" s="196"/>
      <c r="BD25" s="196"/>
      <c r="BE25" s="196"/>
      <c r="BF25" s="196"/>
      <c r="BG25" s="196"/>
    </row>
    <row r="26" ht="15.75" customHeight="1">
      <c r="A26" s="112"/>
      <c r="B26" s="38" t="s">
        <v>64</v>
      </c>
      <c r="C26" s="113">
        <v>1.0</v>
      </c>
      <c r="D26" s="175">
        <v>5913.0</v>
      </c>
      <c r="E26" s="113">
        <v>47.0</v>
      </c>
      <c r="F26" s="176">
        <v>438.0</v>
      </c>
      <c r="G26" s="113">
        <v>67.0</v>
      </c>
      <c r="H26" s="177">
        <v>1.0</v>
      </c>
      <c r="I26" s="113">
        <v>27.0</v>
      </c>
      <c r="J26" s="113">
        <v>8.0</v>
      </c>
      <c r="K26" s="113">
        <v>0.0</v>
      </c>
      <c r="L26" s="113">
        <v>76693.0</v>
      </c>
      <c r="M26" s="113">
        <v>83326.0</v>
      </c>
      <c r="N26" s="113">
        <v>57.0</v>
      </c>
      <c r="O26" s="113">
        <v>2554.0</v>
      </c>
      <c r="P26" s="113">
        <v>91093.0</v>
      </c>
      <c r="Q26" s="113">
        <v>145.0</v>
      </c>
      <c r="R26" s="113">
        <v>1.0</v>
      </c>
      <c r="S26" s="113">
        <v>4.0</v>
      </c>
      <c r="T26" s="114">
        <f t="shared" si="5"/>
        <v>6466</v>
      </c>
      <c r="U26" s="114">
        <f t="shared" si="6"/>
        <v>36</v>
      </c>
      <c r="V26" s="114">
        <f t="shared" si="7"/>
        <v>160019</v>
      </c>
      <c r="W26" s="114">
        <f t="shared" si="8"/>
        <v>93854</v>
      </c>
      <c r="X26" s="114">
        <f t="shared" si="1"/>
        <v>6502</v>
      </c>
      <c r="Y26" s="114">
        <f t="shared" si="2"/>
        <v>66165</v>
      </c>
      <c r="Z26" s="115">
        <f t="shared" si="3"/>
        <v>0.09826947782</v>
      </c>
      <c r="AA26" s="115">
        <f t="shared" si="4"/>
        <v>0.9017305222</v>
      </c>
      <c r="AB26" s="178"/>
      <c r="AC26" s="116"/>
      <c r="AD26" s="117"/>
      <c r="AE26" s="118" t="s">
        <v>64</v>
      </c>
      <c r="AF26" s="119">
        <v>21.0</v>
      </c>
      <c r="AG26" s="119">
        <v>36.0</v>
      </c>
      <c r="AH26" s="119">
        <v>4703.0</v>
      </c>
      <c r="AI26" s="120">
        <v>27.0</v>
      </c>
      <c r="AJ26" s="119">
        <v>8.0</v>
      </c>
      <c r="AK26" s="119">
        <v>4.0</v>
      </c>
      <c r="AL26" s="119">
        <v>9.0</v>
      </c>
      <c r="AM26" s="121">
        <v>77244.0</v>
      </c>
      <c r="AN26" s="131">
        <v>36369.0</v>
      </c>
      <c r="AO26" s="119">
        <v>2.0</v>
      </c>
      <c r="AP26" s="119">
        <v>70.0</v>
      </c>
      <c r="AQ26" s="119">
        <v>32699.0</v>
      </c>
      <c r="AR26" s="119">
        <v>12.0</v>
      </c>
      <c r="AS26" s="119">
        <v>173.0</v>
      </c>
      <c r="AT26" s="119">
        <v>12.0</v>
      </c>
      <c r="AU26" s="120">
        <v>36.0</v>
      </c>
      <c r="AV26" s="120">
        <v>9562.0</v>
      </c>
      <c r="AW26" s="120">
        <v>31530.0</v>
      </c>
      <c r="AX26" s="123">
        <v>0.30326673009831906</v>
      </c>
      <c r="AY26" s="123">
        <v>0.6967332699016809</v>
      </c>
      <c r="AZ26" s="116"/>
      <c r="BA26" s="116"/>
      <c r="BB26" s="116"/>
      <c r="BC26" s="116"/>
      <c r="BD26" s="116"/>
      <c r="BE26" s="116"/>
      <c r="BF26" s="116"/>
      <c r="BG26" s="116"/>
    </row>
    <row r="27" ht="15.75" customHeight="1">
      <c r="A27" s="112"/>
      <c r="B27" s="38" t="s">
        <v>65</v>
      </c>
      <c r="C27" s="113">
        <v>594.0</v>
      </c>
      <c r="D27" s="175">
        <v>5307.0</v>
      </c>
      <c r="E27" s="113">
        <v>0.0</v>
      </c>
      <c r="F27" s="180">
        <v>129.0</v>
      </c>
      <c r="G27" s="113">
        <v>654.0</v>
      </c>
      <c r="H27" s="177">
        <v>632.0</v>
      </c>
      <c r="I27" s="113">
        <v>90.0</v>
      </c>
      <c r="J27" s="113">
        <v>32.0</v>
      </c>
      <c r="K27" s="113">
        <v>0.0</v>
      </c>
      <c r="L27" s="113">
        <v>60899.0</v>
      </c>
      <c r="M27" s="113">
        <v>14850.0</v>
      </c>
      <c r="N27" s="113">
        <v>1420.0</v>
      </c>
      <c r="O27" s="113">
        <v>2271.0</v>
      </c>
      <c r="P27" s="113">
        <v>24729.0</v>
      </c>
      <c r="Q27" s="113">
        <v>489.0</v>
      </c>
      <c r="R27" s="113">
        <v>0.0</v>
      </c>
      <c r="S27" s="113">
        <v>218.0</v>
      </c>
      <c r="T27" s="114">
        <f t="shared" si="5"/>
        <v>6684</v>
      </c>
      <c r="U27" s="114">
        <f t="shared" si="6"/>
        <v>754</v>
      </c>
      <c r="V27" s="114">
        <f t="shared" si="7"/>
        <v>75749</v>
      </c>
      <c r="W27" s="114">
        <f t="shared" si="8"/>
        <v>29127</v>
      </c>
      <c r="X27" s="114">
        <f t="shared" si="1"/>
        <v>7438</v>
      </c>
      <c r="Y27" s="114">
        <f t="shared" si="2"/>
        <v>46622</v>
      </c>
      <c r="Z27" s="115">
        <f t="shared" si="3"/>
        <v>0.1595384153</v>
      </c>
      <c r="AA27" s="115">
        <f t="shared" si="4"/>
        <v>0.8404615847</v>
      </c>
      <c r="AB27" s="178"/>
      <c r="AC27" s="116"/>
      <c r="AD27" s="117"/>
      <c r="AE27" s="118" t="s">
        <v>65</v>
      </c>
      <c r="AF27" s="119">
        <v>567.0</v>
      </c>
      <c r="AG27" s="119">
        <v>889.0</v>
      </c>
      <c r="AH27" s="119">
        <v>4085.0</v>
      </c>
      <c r="AI27" s="120">
        <v>6.0</v>
      </c>
      <c r="AJ27" s="119">
        <v>331.0</v>
      </c>
      <c r="AK27" s="119">
        <v>412.0</v>
      </c>
      <c r="AL27" s="119">
        <v>17.0</v>
      </c>
      <c r="AM27" s="121">
        <v>60891.0</v>
      </c>
      <c r="AN27" s="131">
        <v>17304.0</v>
      </c>
      <c r="AO27" s="119">
        <v>1292.0</v>
      </c>
      <c r="AP27" s="119">
        <v>1449.0</v>
      </c>
      <c r="AQ27" s="119">
        <v>18492.0</v>
      </c>
      <c r="AR27" s="119">
        <v>62.0</v>
      </c>
      <c r="AS27" s="119">
        <v>17.0</v>
      </c>
      <c r="AT27" s="119">
        <v>62.0</v>
      </c>
      <c r="AU27" s="120">
        <v>889.0</v>
      </c>
      <c r="AV27" s="120">
        <v>5664.0</v>
      </c>
      <c r="AW27" s="120">
        <v>62312.0</v>
      </c>
      <c r="AX27" s="123">
        <v>0.0908974194376685</v>
      </c>
      <c r="AY27" s="123">
        <v>0.9091025805623315</v>
      </c>
      <c r="AZ27" s="116"/>
      <c r="BA27" s="116"/>
      <c r="BB27" s="116"/>
      <c r="BC27" s="116"/>
      <c r="BD27" s="116"/>
      <c r="BE27" s="116"/>
      <c r="BF27" s="116"/>
      <c r="BG27" s="116"/>
    </row>
    <row r="28" ht="15.75" customHeight="1">
      <c r="A28" s="112"/>
      <c r="B28" s="38" t="s">
        <v>66</v>
      </c>
      <c r="C28" s="181"/>
      <c r="D28" s="182"/>
      <c r="E28" s="181"/>
      <c r="F28" s="183"/>
      <c r="G28" s="181"/>
      <c r="H28" s="184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14">
        <f t="shared" si="5"/>
        <v>0</v>
      </c>
      <c r="U28" s="114">
        <f t="shared" si="6"/>
        <v>0</v>
      </c>
      <c r="V28" s="114">
        <f t="shared" si="7"/>
        <v>0</v>
      </c>
      <c r="W28" s="114">
        <f t="shared" si="8"/>
        <v>0</v>
      </c>
      <c r="X28" s="114">
        <f t="shared" si="1"/>
        <v>0</v>
      </c>
      <c r="Y28" s="114">
        <f t="shared" si="2"/>
        <v>0</v>
      </c>
      <c r="Z28" s="115" t="str">
        <f t="shared" si="3"/>
        <v>#DIV/0!</v>
      </c>
      <c r="AA28" s="115" t="str">
        <f t="shared" si="4"/>
        <v>#DIV/0!</v>
      </c>
      <c r="AB28" s="178"/>
      <c r="AC28" s="116"/>
      <c r="AD28" s="117"/>
      <c r="AE28" s="118" t="s">
        <v>66</v>
      </c>
      <c r="AF28" s="119">
        <v>85.0</v>
      </c>
      <c r="AG28" s="119">
        <v>231.0</v>
      </c>
      <c r="AH28" s="119">
        <v>1566.0</v>
      </c>
      <c r="AI28" s="120">
        <v>0.0</v>
      </c>
      <c r="AJ28" s="119">
        <v>3.0</v>
      </c>
      <c r="AK28" s="119">
        <v>12.0</v>
      </c>
      <c r="AL28" s="119">
        <v>11.0</v>
      </c>
      <c r="AM28" s="121">
        <v>52006.0</v>
      </c>
      <c r="AN28" s="131">
        <v>26176.0</v>
      </c>
      <c r="AO28" s="119">
        <v>60.0</v>
      </c>
      <c r="AP28" s="119">
        <v>160.0</v>
      </c>
      <c r="AQ28" s="119">
        <v>1140.0</v>
      </c>
      <c r="AR28" s="119">
        <v>5.0</v>
      </c>
      <c r="AS28" s="119">
        <v>9.0</v>
      </c>
      <c r="AT28" s="119">
        <v>5.0</v>
      </c>
      <c r="AU28" s="120">
        <v>231.0</v>
      </c>
      <c r="AV28" s="120">
        <v>1379.0</v>
      </c>
      <c r="AW28" s="120">
        <v>57213.0</v>
      </c>
      <c r="AX28" s="123">
        <v>0.02410291367346582</v>
      </c>
      <c r="AY28" s="123">
        <v>0.9758970863265342</v>
      </c>
      <c r="AZ28" s="116"/>
      <c r="BA28" s="116"/>
      <c r="BB28" s="116"/>
      <c r="BC28" s="116"/>
      <c r="BD28" s="116"/>
      <c r="BE28" s="116"/>
      <c r="BF28" s="116"/>
      <c r="BG28" s="116"/>
    </row>
    <row r="29" ht="15.75" customHeight="1">
      <c r="A29" s="112"/>
      <c r="B29" s="38" t="s">
        <v>67</v>
      </c>
      <c r="C29" s="113">
        <v>219.0</v>
      </c>
      <c r="D29" s="175">
        <v>2817.0</v>
      </c>
      <c r="E29" s="185">
        <v>1.0</v>
      </c>
      <c r="F29" s="180">
        <v>0.0</v>
      </c>
      <c r="G29" s="113">
        <v>0.0</v>
      </c>
      <c r="H29" s="177">
        <v>26.0</v>
      </c>
      <c r="I29" s="113">
        <v>7.0</v>
      </c>
      <c r="J29" s="113">
        <v>0.0</v>
      </c>
      <c r="K29" s="113">
        <v>0.0</v>
      </c>
      <c r="L29" s="113">
        <v>60187.0</v>
      </c>
      <c r="M29" s="113">
        <v>43723.0</v>
      </c>
      <c r="N29" s="113">
        <v>365.0</v>
      </c>
      <c r="O29" s="113">
        <v>64.0</v>
      </c>
      <c r="P29" s="113">
        <v>26785.0</v>
      </c>
      <c r="Q29" s="113">
        <v>192.0</v>
      </c>
      <c r="R29" s="113">
        <v>5.0</v>
      </c>
      <c r="S29" s="113">
        <v>24.0</v>
      </c>
      <c r="T29" s="114">
        <f t="shared" si="5"/>
        <v>3037</v>
      </c>
      <c r="U29" s="114">
        <f t="shared" si="6"/>
        <v>33</v>
      </c>
      <c r="V29" s="114">
        <f t="shared" si="7"/>
        <v>103910</v>
      </c>
      <c r="W29" s="114">
        <f t="shared" si="8"/>
        <v>27435</v>
      </c>
      <c r="X29" s="114">
        <f t="shared" si="1"/>
        <v>3070</v>
      </c>
      <c r="Y29" s="114">
        <f t="shared" si="2"/>
        <v>76475</v>
      </c>
      <c r="Z29" s="115">
        <f t="shared" si="3"/>
        <v>0.04014383786</v>
      </c>
      <c r="AA29" s="115">
        <f t="shared" si="4"/>
        <v>0.9598561621</v>
      </c>
      <c r="AB29" s="178"/>
      <c r="AC29" s="116"/>
      <c r="AD29" s="117"/>
      <c r="AE29" s="118" t="s">
        <v>67</v>
      </c>
      <c r="AF29" s="119">
        <v>194.0</v>
      </c>
      <c r="AG29" s="119">
        <v>447.0</v>
      </c>
      <c r="AH29" s="119">
        <v>540.0</v>
      </c>
      <c r="AI29" s="120">
        <v>7.0</v>
      </c>
      <c r="AJ29" s="119">
        <v>545.0</v>
      </c>
      <c r="AK29" s="119">
        <v>32.0</v>
      </c>
      <c r="AL29" s="119">
        <v>0.0</v>
      </c>
      <c r="AM29" s="121">
        <v>59282.0</v>
      </c>
      <c r="AN29" s="131">
        <v>37235.0</v>
      </c>
      <c r="AO29" s="119">
        <v>178.0</v>
      </c>
      <c r="AP29" s="119">
        <v>1149.0</v>
      </c>
      <c r="AQ29" s="119">
        <v>4139.0</v>
      </c>
      <c r="AR29" s="119">
        <v>54.0</v>
      </c>
      <c r="AS29" s="119">
        <v>0.0</v>
      </c>
      <c r="AT29" s="119">
        <v>54.0</v>
      </c>
      <c r="AU29" s="120">
        <v>447.0</v>
      </c>
      <c r="AV29" s="120">
        <v>2681.0</v>
      </c>
      <c r="AW29" s="120">
        <v>67700.0</v>
      </c>
      <c r="AX29" s="123">
        <v>0.039601181683899554</v>
      </c>
      <c r="AY29" s="123">
        <v>0.9603988183161004</v>
      </c>
      <c r="AZ29" s="116"/>
      <c r="BA29" s="116"/>
      <c r="BB29" s="116"/>
      <c r="BC29" s="116"/>
      <c r="BD29" s="116"/>
      <c r="BE29" s="116"/>
      <c r="BF29" s="116"/>
      <c r="BG29" s="116"/>
    </row>
    <row r="30" ht="15.75" customHeight="1">
      <c r="A30" s="112"/>
      <c r="B30" s="38" t="s">
        <v>68</v>
      </c>
      <c r="C30" s="113">
        <v>0.0</v>
      </c>
      <c r="D30" s="175">
        <v>3291.0</v>
      </c>
      <c r="E30" s="113">
        <v>0.0</v>
      </c>
      <c r="F30" s="180">
        <v>257.0</v>
      </c>
      <c r="G30" s="113">
        <v>0.0</v>
      </c>
      <c r="H30" s="177">
        <v>538.0</v>
      </c>
      <c r="I30" s="113">
        <v>88.0</v>
      </c>
      <c r="J30" s="113">
        <v>9.0</v>
      </c>
      <c r="K30" s="113">
        <v>0.0</v>
      </c>
      <c r="L30" s="113">
        <v>31113.0</v>
      </c>
      <c r="M30" s="113">
        <v>70429.0</v>
      </c>
      <c r="N30" s="113">
        <v>20.0</v>
      </c>
      <c r="O30" s="113">
        <v>510.0</v>
      </c>
      <c r="P30" s="113">
        <v>6110.0</v>
      </c>
      <c r="Q30" s="113">
        <v>141.0</v>
      </c>
      <c r="R30" s="113">
        <v>0.0</v>
      </c>
      <c r="S30" s="113">
        <v>0.0</v>
      </c>
      <c r="T30" s="114">
        <f t="shared" si="5"/>
        <v>3548</v>
      </c>
      <c r="U30" s="114">
        <f t="shared" si="6"/>
        <v>635</v>
      </c>
      <c r="V30" s="114">
        <f t="shared" si="7"/>
        <v>101542</v>
      </c>
      <c r="W30" s="114">
        <f t="shared" si="8"/>
        <v>6781</v>
      </c>
      <c r="X30" s="114">
        <f t="shared" si="1"/>
        <v>4183</v>
      </c>
      <c r="Y30" s="114">
        <f t="shared" si="2"/>
        <v>94761</v>
      </c>
      <c r="Z30" s="115">
        <f t="shared" si="3"/>
        <v>0.04414263252</v>
      </c>
      <c r="AA30" s="115">
        <f t="shared" si="4"/>
        <v>0.9558573675</v>
      </c>
      <c r="AB30" s="178"/>
      <c r="AC30" s="116"/>
      <c r="AD30" s="117"/>
      <c r="AE30" s="118" t="s">
        <v>68</v>
      </c>
      <c r="AF30" s="119">
        <v>1.0</v>
      </c>
      <c r="AG30" s="119">
        <v>0.0</v>
      </c>
      <c r="AH30" s="119">
        <v>2866.0</v>
      </c>
      <c r="AI30" s="120">
        <v>40.0</v>
      </c>
      <c r="AJ30" s="119">
        <v>63.0</v>
      </c>
      <c r="AK30" s="119">
        <v>39.0</v>
      </c>
      <c r="AL30" s="119">
        <v>1.0</v>
      </c>
      <c r="AM30" s="121">
        <v>29224.0</v>
      </c>
      <c r="AN30" s="131">
        <v>16057.0</v>
      </c>
      <c r="AO30" s="119">
        <v>13.0</v>
      </c>
      <c r="AP30" s="119">
        <v>292.0</v>
      </c>
      <c r="AQ30" s="119">
        <v>4600.0</v>
      </c>
      <c r="AR30" s="119">
        <v>99.0</v>
      </c>
      <c r="AS30" s="119">
        <v>0.0</v>
      </c>
      <c r="AT30" s="119">
        <v>99.0</v>
      </c>
      <c r="AU30" s="120">
        <v>0.0</v>
      </c>
      <c r="AV30" s="120">
        <v>5052.0</v>
      </c>
      <c r="AW30" s="120">
        <v>123560.0</v>
      </c>
      <c r="AX30" s="123">
        <v>0.04088701845257365</v>
      </c>
      <c r="AY30" s="123">
        <v>0.9591129815474263</v>
      </c>
      <c r="AZ30" s="116"/>
      <c r="BA30" s="116"/>
      <c r="BB30" s="116"/>
      <c r="BC30" s="116"/>
      <c r="BD30" s="116"/>
      <c r="BE30" s="116"/>
      <c r="BF30" s="116"/>
      <c r="BG30" s="116"/>
    </row>
    <row r="31" ht="15.75" customHeight="1">
      <c r="A31" s="179"/>
      <c r="B31" s="204" t="s">
        <v>69</v>
      </c>
      <c r="C31" s="181"/>
      <c r="D31" s="182"/>
      <c r="E31" s="181"/>
      <c r="F31" s="183"/>
      <c r="G31" s="181"/>
      <c r="H31" s="205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14">
        <f t="shared" si="5"/>
        <v>0</v>
      </c>
      <c r="U31" s="114">
        <f t="shared" si="6"/>
        <v>0</v>
      </c>
      <c r="V31" s="114">
        <f t="shared" si="7"/>
        <v>0</v>
      </c>
      <c r="W31" s="114">
        <f t="shared" si="8"/>
        <v>0</v>
      </c>
      <c r="X31" s="114">
        <f t="shared" si="1"/>
        <v>0</v>
      </c>
      <c r="Y31" s="114">
        <f t="shared" si="2"/>
        <v>0</v>
      </c>
      <c r="Z31" s="115" t="str">
        <f t="shared" si="3"/>
        <v>#DIV/0!</v>
      </c>
      <c r="AA31" s="115" t="str">
        <f t="shared" si="4"/>
        <v>#DIV/0!</v>
      </c>
      <c r="AB31" s="178"/>
      <c r="AC31" s="116"/>
      <c r="AD31" s="117"/>
      <c r="AE31" s="118" t="s">
        <v>69</v>
      </c>
      <c r="AF31" s="119">
        <v>0.0</v>
      </c>
      <c r="AG31" s="119">
        <v>0.0</v>
      </c>
      <c r="AH31" s="119">
        <v>3889.0</v>
      </c>
      <c r="AI31" s="120">
        <v>317.0</v>
      </c>
      <c r="AJ31" s="119">
        <v>31.0</v>
      </c>
      <c r="AK31" s="119">
        <v>1037.0</v>
      </c>
      <c r="AL31" s="119">
        <v>18.0</v>
      </c>
      <c r="AM31" s="121">
        <v>37098.0</v>
      </c>
      <c r="AN31" s="131">
        <v>23866.0</v>
      </c>
      <c r="AO31" s="119">
        <v>0.0</v>
      </c>
      <c r="AP31" s="119">
        <v>39.0</v>
      </c>
      <c r="AQ31" s="119">
        <v>522.0</v>
      </c>
      <c r="AR31" s="119">
        <v>59.0</v>
      </c>
      <c r="AS31" s="119">
        <v>243.0</v>
      </c>
      <c r="AT31" s="119">
        <v>59.0</v>
      </c>
      <c r="AU31" s="120">
        <v>0.0</v>
      </c>
      <c r="AV31" s="120">
        <v>1797.0</v>
      </c>
      <c r="AW31" s="120">
        <v>28118.0</v>
      </c>
      <c r="AX31" s="123">
        <v>0.06390923963297532</v>
      </c>
      <c r="AY31" s="123">
        <v>0.9360907603670247</v>
      </c>
      <c r="AZ31" s="116"/>
      <c r="BA31" s="116"/>
      <c r="BB31" s="116"/>
      <c r="BC31" s="116"/>
      <c r="BD31" s="116"/>
      <c r="BE31" s="116"/>
      <c r="BF31" s="116"/>
      <c r="BG31" s="116"/>
    </row>
    <row r="32" ht="15.75" customHeight="1">
      <c r="A32" s="179"/>
      <c r="B32" s="38" t="s">
        <v>70</v>
      </c>
      <c r="C32" s="113">
        <v>0.0</v>
      </c>
      <c r="D32" s="175">
        <v>2467.0</v>
      </c>
      <c r="E32" s="113">
        <v>0.0</v>
      </c>
      <c r="F32" s="180">
        <v>333.0</v>
      </c>
      <c r="G32" s="113">
        <v>486.0</v>
      </c>
      <c r="H32" s="177">
        <v>11.0</v>
      </c>
      <c r="I32" s="113">
        <v>125.0</v>
      </c>
      <c r="J32" s="113">
        <v>34.0</v>
      </c>
      <c r="K32" s="113">
        <v>10.0</v>
      </c>
      <c r="L32" s="113">
        <v>39764.0</v>
      </c>
      <c r="M32" s="113">
        <v>24956.0</v>
      </c>
      <c r="N32" s="113">
        <v>2650.0</v>
      </c>
      <c r="O32" s="113">
        <v>201.0</v>
      </c>
      <c r="P32" s="113">
        <v>178.0</v>
      </c>
      <c r="Q32" s="113">
        <v>6.0</v>
      </c>
      <c r="R32" s="113">
        <v>20.0</v>
      </c>
      <c r="S32" s="113">
        <v>0.0</v>
      </c>
      <c r="T32" s="114">
        <f t="shared" si="5"/>
        <v>3286</v>
      </c>
      <c r="U32" s="114">
        <f t="shared" si="6"/>
        <v>180</v>
      </c>
      <c r="V32" s="114">
        <f t="shared" si="7"/>
        <v>64720</v>
      </c>
      <c r="W32" s="114">
        <f t="shared" si="8"/>
        <v>3055</v>
      </c>
      <c r="X32" s="114">
        <f t="shared" si="1"/>
        <v>3466</v>
      </c>
      <c r="Y32" s="114">
        <f t="shared" si="2"/>
        <v>61665</v>
      </c>
      <c r="Z32" s="115">
        <f t="shared" si="3"/>
        <v>0.05620692451</v>
      </c>
      <c r="AA32" s="115">
        <f t="shared" si="4"/>
        <v>0.9437930755</v>
      </c>
      <c r="AB32" s="178"/>
      <c r="AC32" s="116"/>
      <c r="AD32" s="117"/>
      <c r="AE32" s="118" t="s">
        <v>70</v>
      </c>
      <c r="AF32" s="119">
        <v>0.0</v>
      </c>
      <c r="AG32" s="119">
        <v>6.0</v>
      </c>
      <c r="AH32" s="119">
        <v>1392.0</v>
      </c>
      <c r="AI32" s="120">
        <v>13.0</v>
      </c>
      <c r="AJ32" s="119">
        <v>268.0</v>
      </c>
      <c r="AK32" s="119">
        <v>117.0</v>
      </c>
      <c r="AL32" s="119">
        <v>38.0</v>
      </c>
      <c r="AM32" s="121">
        <v>40789.0</v>
      </c>
      <c r="AN32" s="131">
        <v>26221.0</v>
      </c>
      <c r="AO32" s="119">
        <v>2645.0</v>
      </c>
      <c r="AP32" s="119">
        <v>201.0</v>
      </c>
      <c r="AQ32" s="119">
        <v>173.0</v>
      </c>
      <c r="AR32" s="119">
        <v>3.0</v>
      </c>
      <c r="AS32" s="119">
        <v>4.0</v>
      </c>
      <c r="AT32" s="119">
        <v>3.0</v>
      </c>
      <c r="AU32" s="120">
        <v>6.0</v>
      </c>
      <c r="AV32" s="120">
        <v>6699.0</v>
      </c>
      <c r="AW32" s="120">
        <v>56469.0</v>
      </c>
      <c r="AX32" s="123">
        <v>0.11863146150985497</v>
      </c>
      <c r="AY32" s="123">
        <v>0.8813685384901451</v>
      </c>
      <c r="AZ32" s="116"/>
      <c r="BA32" s="116"/>
      <c r="BB32" s="116"/>
      <c r="BC32" s="116"/>
      <c r="BD32" s="116"/>
      <c r="BE32" s="116"/>
      <c r="BF32" s="116"/>
      <c r="BG32" s="116"/>
    </row>
    <row r="33" ht="15.75" customHeight="1">
      <c r="A33" s="112"/>
      <c r="B33" s="38" t="s">
        <v>71</v>
      </c>
      <c r="C33" s="113">
        <v>0.0</v>
      </c>
      <c r="D33" s="175">
        <v>2956.0</v>
      </c>
      <c r="E33" s="113"/>
      <c r="F33" s="176">
        <v>23.0</v>
      </c>
      <c r="G33" s="113">
        <v>104.0</v>
      </c>
      <c r="H33" s="177">
        <v>176.0</v>
      </c>
      <c r="I33" s="113">
        <v>161.0</v>
      </c>
      <c r="J33" s="113">
        <v>50.0</v>
      </c>
      <c r="K33" s="113">
        <v>0.0</v>
      </c>
      <c r="L33" s="188">
        <v>41124.0</v>
      </c>
      <c r="M33" s="113">
        <v>30566.0</v>
      </c>
      <c r="N33" s="113">
        <v>136.0</v>
      </c>
      <c r="O33" s="113">
        <v>1231.0</v>
      </c>
      <c r="P33" s="113">
        <v>3033.0</v>
      </c>
      <c r="Q33" s="113">
        <v>112.0</v>
      </c>
      <c r="R33" s="113"/>
      <c r="S33" s="113"/>
      <c r="T33" s="114">
        <f t="shared" si="5"/>
        <v>3083</v>
      </c>
      <c r="U33" s="114">
        <f t="shared" si="6"/>
        <v>387</v>
      </c>
      <c r="V33" s="114">
        <f t="shared" si="7"/>
        <v>71690</v>
      </c>
      <c r="W33" s="114">
        <f t="shared" si="8"/>
        <v>4512</v>
      </c>
      <c r="X33" s="114">
        <f t="shared" si="1"/>
        <v>3470</v>
      </c>
      <c r="Y33" s="114">
        <f t="shared" si="2"/>
        <v>67178</v>
      </c>
      <c r="Z33" s="115">
        <f t="shared" si="3"/>
        <v>0.05165381524</v>
      </c>
      <c r="AA33" s="115">
        <f t="shared" si="4"/>
        <v>0.9483461848</v>
      </c>
      <c r="AB33" s="178"/>
      <c r="AC33" s="116"/>
      <c r="AD33" s="117"/>
      <c r="AE33" s="118" t="s">
        <v>71</v>
      </c>
      <c r="AF33" s="119">
        <v>0.0</v>
      </c>
      <c r="AG33" s="119">
        <v>0.0</v>
      </c>
      <c r="AH33" s="119">
        <v>1080.0</v>
      </c>
      <c r="AI33" s="120">
        <v>0.0</v>
      </c>
      <c r="AJ33" s="119">
        <v>0.0</v>
      </c>
      <c r="AK33" s="119">
        <v>186.0</v>
      </c>
      <c r="AL33" s="119">
        <v>314.0</v>
      </c>
      <c r="AM33" s="121">
        <v>41629.0</v>
      </c>
      <c r="AN33" s="131">
        <v>29470.0</v>
      </c>
      <c r="AO33" s="119">
        <v>71.0</v>
      </c>
      <c r="AP33" s="119">
        <v>752.0</v>
      </c>
      <c r="AQ33" s="119">
        <v>280.0</v>
      </c>
      <c r="AR33" s="119">
        <v>0.0</v>
      </c>
      <c r="AS33" s="119">
        <v>0.0</v>
      </c>
      <c r="AT33" s="119">
        <v>0.0</v>
      </c>
      <c r="AU33" s="120">
        <v>0.0</v>
      </c>
      <c r="AV33" s="120">
        <v>6050.0</v>
      </c>
      <c r="AW33" s="120">
        <v>65517.0</v>
      </c>
      <c r="AX33" s="123">
        <v>0.09234244547216752</v>
      </c>
      <c r="AY33" s="123">
        <v>0.9076575545278325</v>
      </c>
      <c r="AZ33" s="116"/>
      <c r="BA33" s="116"/>
      <c r="BB33" s="116"/>
      <c r="BC33" s="116"/>
      <c r="BD33" s="116"/>
      <c r="BE33" s="116"/>
      <c r="BF33" s="116"/>
      <c r="BG33" s="116"/>
    </row>
    <row r="34" ht="15.75" customHeight="1">
      <c r="A34" s="179"/>
      <c r="B34" s="38" t="s">
        <v>72</v>
      </c>
      <c r="C34" s="113">
        <v>0.0</v>
      </c>
      <c r="D34" s="175">
        <v>508.0</v>
      </c>
      <c r="E34" s="113">
        <v>0.0</v>
      </c>
      <c r="F34" s="180">
        <v>175.0</v>
      </c>
      <c r="G34" s="188">
        <v>203.0</v>
      </c>
      <c r="H34" s="177">
        <v>23.0</v>
      </c>
      <c r="I34" s="188">
        <v>25.0</v>
      </c>
      <c r="J34" s="188">
        <v>11.0</v>
      </c>
      <c r="K34" s="188">
        <v>0.0</v>
      </c>
      <c r="L34" s="113">
        <v>3846.0</v>
      </c>
      <c r="M34" s="188">
        <v>4216.0</v>
      </c>
      <c r="N34" s="188">
        <v>7.0</v>
      </c>
      <c r="O34" s="188">
        <v>72.0</v>
      </c>
      <c r="P34" s="188">
        <v>0.0</v>
      </c>
      <c r="Q34" s="188">
        <v>0.0</v>
      </c>
      <c r="R34" s="188">
        <v>0.0</v>
      </c>
      <c r="S34" s="188">
        <v>0.0</v>
      </c>
      <c r="T34" s="114">
        <f t="shared" si="5"/>
        <v>886</v>
      </c>
      <c r="U34" s="114">
        <f t="shared" si="6"/>
        <v>59</v>
      </c>
      <c r="V34" s="114">
        <f t="shared" si="7"/>
        <v>8062</v>
      </c>
      <c r="W34" s="114">
        <f t="shared" si="8"/>
        <v>79</v>
      </c>
      <c r="X34" s="114">
        <f t="shared" si="1"/>
        <v>945</v>
      </c>
      <c r="Y34" s="114">
        <f t="shared" si="2"/>
        <v>7983</v>
      </c>
      <c r="Z34" s="115">
        <f t="shared" si="3"/>
        <v>0.1183765502</v>
      </c>
      <c r="AA34" s="115">
        <f t="shared" si="4"/>
        <v>0.8816234498</v>
      </c>
      <c r="AB34" s="178"/>
      <c r="AC34" s="116"/>
      <c r="AD34" s="117"/>
      <c r="AE34" s="118" t="s">
        <v>72</v>
      </c>
      <c r="AF34" s="119">
        <v>0.0</v>
      </c>
      <c r="AG34" s="119">
        <v>0.0</v>
      </c>
      <c r="AH34" s="119">
        <v>6.0</v>
      </c>
      <c r="AI34" s="120">
        <v>0.0</v>
      </c>
      <c r="AJ34" s="119">
        <v>15.0</v>
      </c>
      <c r="AK34" s="119">
        <v>8.0</v>
      </c>
      <c r="AL34" s="119">
        <v>3.0</v>
      </c>
      <c r="AM34" s="121">
        <v>3882.0</v>
      </c>
      <c r="AN34" s="131">
        <v>3706.0</v>
      </c>
      <c r="AO34" s="119">
        <v>7.0</v>
      </c>
      <c r="AP34" s="119">
        <v>72.0</v>
      </c>
      <c r="AQ34" s="119">
        <v>0.0</v>
      </c>
      <c r="AR34" s="119">
        <v>23.0</v>
      </c>
      <c r="AS34" s="119">
        <v>16.0</v>
      </c>
      <c r="AT34" s="119">
        <v>23.0</v>
      </c>
      <c r="AU34" s="120">
        <v>0.0</v>
      </c>
      <c r="AV34" s="120">
        <v>59.0</v>
      </c>
      <c r="AW34" s="120">
        <v>45238.0</v>
      </c>
      <c r="AX34" s="123">
        <v>0.0013042132720279412</v>
      </c>
      <c r="AY34" s="123">
        <v>0.9986957867279721</v>
      </c>
      <c r="AZ34" s="116"/>
      <c r="BA34" s="116"/>
      <c r="BB34" s="116"/>
      <c r="BC34" s="116"/>
      <c r="BD34" s="116"/>
      <c r="BE34" s="116"/>
      <c r="BF34" s="116"/>
      <c r="BG34" s="116"/>
    </row>
    <row r="35" ht="15.75" customHeight="1">
      <c r="A35" s="112"/>
      <c r="B35" s="38" t="s">
        <v>73</v>
      </c>
      <c r="C35" s="113">
        <v>3.0</v>
      </c>
      <c r="D35" s="175">
        <v>8852.0</v>
      </c>
      <c r="E35" s="113">
        <v>125.0</v>
      </c>
      <c r="F35" s="180">
        <v>1107.0</v>
      </c>
      <c r="G35" s="113">
        <v>436.0</v>
      </c>
      <c r="H35" s="177">
        <v>215.0</v>
      </c>
      <c r="I35" s="113">
        <v>431.0</v>
      </c>
      <c r="J35" s="113">
        <v>120.0</v>
      </c>
      <c r="K35" s="113">
        <v>0.0</v>
      </c>
      <c r="L35" s="113">
        <v>88137.0</v>
      </c>
      <c r="M35" s="113">
        <v>27286.0</v>
      </c>
      <c r="N35" s="113">
        <v>54.0</v>
      </c>
      <c r="O35" s="113">
        <v>7018.0</v>
      </c>
      <c r="P35" s="113">
        <v>5732.0</v>
      </c>
      <c r="Q35" s="113">
        <v>207.0</v>
      </c>
      <c r="R35" s="113">
        <v>10.0</v>
      </c>
      <c r="S35" s="113">
        <v>8.0</v>
      </c>
      <c r="T35" s="114">
        <f t="shared" si="5"/>
        <v>10523</v>
      </c>
      <c r="U35" s="114">
        <f t="shared" si="6"/>
        <v>766</v>
      </c>
      <c r="V35" s="114">
        <f t="shared" si="7"/>
        <v>115423</v>
      </c>
      <c r="W35" s="114">
        <f t="shared" si="8"/>
        <v>13029</v>
      </c>
      <c r="X35" s="114">
        <f t="shared" si="1"/>
        <v>11289</v>
      </c>
      <c r="Y35" s="114">
        <f t="shared" si="2"/>
        <v>102394</v>
      </c>
      <c r="Z35" s="115">
        <f t="shared" si="3"/>
        <v>0.1102506006</v>
      </c>
      <c r="AA35" s="115">
        <f t="shared" si="4"/>
        <v>0.8897493994</v>
      </c>
      <c r="AB35" s="178"/>
      <c r="AC35" s="116"/>
      <c r="AD35" s="117"/>
      <c r="AE35" s="118" t="s">
        <v>73</v>
      </c>
      <c r="AF35" s="119">
        <v>51.0</v>
      </c>
      <c r="AG35" s="119">
        <v>514.0</v>
      </c>
      <c r="AH35" s="119">
        <v>5789.0</v>
      </c>
      <c r="AI35" s="120">
        <v>304.0</v>
      </c>
      <c r="AJ35" s="119">
        <v>48.0</v>
      </c>
      <c r="AK35" s="119">
        <v>49.0</v>
      </c>
      <c r="AL35" s="119">
        <v>95.0</v>
      </c>
      <c r="AM35" s="121">
        <v>83575.0</v>
      </c>
      <c r="AN35" s="131">
        <v>25752.0</v>
      </c>
      <c r="AO35" s="119">
        <v>101.0</v>
      </c>
      <c r="AP35" s="119">
        <v>7807.0</v>
      </c>
      <c r="AQ35" s="119">
        <v>6126.0</v>
      </c>
      <c r="AR35" s="119">
        <v>102.0</v>
      </c>
      <c r="AS35" s="119">
        <v>292.0</v>
      </c>
      <c r="AT35" s="119">
        <v>102.0</v>
      </c>
      <c r="AU35" s="120">
        <v>514.0</v>
      </c>
      <c r="AV35" s="120">
        <v>2012.0</v>
      </c>
      <c r="AW35" s="120">
        <v>17711.0</v>
      </c>
      <c r="AX35" s="123">
        <v>0.11360171644740556</v>
      </c>
      <c r="AY35" s="123">
        <v>0.8863982835525944</v>
      </c>
      <c r="AZ35" s="116"/>
      <c r="BA35" s="116"/>
      <c r="BB35" s="116"/>
      <c r="BC35" s="116"/>
      <c r="BD35" s="116"/>
      <c r="BE35" s="116"/>
      <c r="BF35" s="116"/>
      <c r="BG35" s="116"/>
    </row>
    <row r="36" ht="15.75" customHeight="1">
      <c r="A36" s="112"/>
      <c r="B36" s="38" t="s">
        <v>74</v>
      </c>
      <c r="C36" s="113">
        <v>26.0</v>
      </c>
      <c r="D36" s="175">
        <v>3112.0</v>
      </c>
      <c r="E36" s="113">
        <v>0.0</v>
      </c>
      <c r="F36" s="180">
        <v>110.0</v>
      </c>
      <c r="G36" s="113">
        <v>81.0</v>
      </c>
      <c r="H36" s="177">
        <v>164.0</v>
      </c>
      <c r="I36" s="113">
        <v>91.0</v>
      </c>
      <c r="J36" s="113">
        <v>29.0</v>
      </c>
      <c r="K36" s="113">
        <v>12.0</v>
      </c>
      <c r="L36" s="113">
        <v>4283.0</v>
      </c>
      <c r="M36" s="113">
        <v>2657.0</v>
      </c>
      <c r="N36" s="113">
        <v>281.0</v>
      </c>
      <c r="O36" s="113">
        <v>550.0</v>
      </c>
      <c r="P36" s="113">
        <v>484.0</v>
      </c>
      <c r="Q36" s="113">
        <v>40.0</v>
      </c>
      <c r="R36" s="113">
        <v>0.0</v>
      </c>
      <c r="S36" s="113">
        <v>0.0</v>
      </c>
      <c r="T36" s="114">
        <f t="shared" si="5"/>
        <v>3329</v>
      </c>
      <c r="U36" s="114">
        <f t="shared" si="6"/>
        <v>296</v>
      </c>
      <c r="V36" s="114">
        <f t="shared" si="7"/>
        <v>6940</v>
      </c>
      <c r="W36" s="114">
        <f t="shared" si="8"/>
        <v>1355</v>
      </c>
      <c r="X36" s="114">
        <f t="shared" si="1"/>
        <v>3625</v>
      </c>
      <c r="Y36" s="114">
        <f t="shared" si="2"/>
        <v>5585</v>
      </c>
      <c r="Z36" s="115">
        <f t="shared" si="3"/>
        <v>0.6490599821</v>
      </c>
      <c r="AA36" s="115">
        <f t="shared" si="4"/>
        <v>0.3509400179</v>
      </c>
      <c r="AB36" s="178"/>
      <c r="AC36" s="116"/>
      <c r="AD36" s="117"/>
      <c r="AE36" s="118" t="s">
        <v>74</v>
      </c>
      <c r="AF36" s="119">
        <v>1.0</v>
      </c>
      <c r="AG36" s="119">
        <v>15.0</v>
      </c>
      <c r="AH36" s="119">
        <v>849.0</v>
      </c>
      <c r="AI36" s="120">
        <v>0.0</v>
      </c>
      <c r="AJ36" s="119">
        <v>85.0</v>
      </c>
      <c r="AK36" s="119">
        <v>270.0</v>
      </c>
      <c r="AL36" s="119">
        <v>118.0</v>
      </c>
      <c r="AM36" s="146">
        <v>4283.0</v>
      </c>
      <c r="AN36" s="131">
        <v>1969.0</v>
      </c>
      <c r="AO36" s="119">
        <v>90.0</v>
      </c>
      <c r="AP36" s="119">
        <v>19.0</v>
      </c>
      <c r="AQ36" s="119">
        <v>494.0</v>
      </c>
      <c r="AR36" s="119">
        <v>379.0</v>
      </c>
      <c r="AS36" s="119">
        <v>344.0</v>
      </c>
      <c r="AT36" s="119">
        <v>379.0</v>
      </c>
      <c r="AU36" s="120">
        <v>15.0</v>
      </c>
      <c r="AV36" s="186">
        <v>1270.0</v>
      </c>
      <c r="AW36" s="186">
        <v>89345.0</v>
      </c>
      <c r="AX36" s="187">
        <v>0.01421456153114332</v>
      </c>
      <c r="AY36" s="187">
        <v>0.9857854384688567</v>
      </c>
      <c r="AZ36" s="116"/>
      <c r="BA36" s="116"/>
      <c r="BB36" s="116"/>
      <c r="BC36" s="116"/>
      <c r="BD36" s="116"/>
      <c r="BE36" s="116"/>
      <c r="BF36" s="116"/>
      <c r="BG36" s="116"/>
    </row>
    <row r="37" ht="15.75" customHeight="1">
      <c r="A37" s="112"/>
      <c r="B37" s="38" t="s">
        <v>75</v>
      </c>
      <c r="C37" s="113">
        <v>10.0</v>
      </c>
      <c r="D37" s="175">
        <v>2147.0</v>
      </c>
      <c r="E37" s="185">
        <v>51.0</v>
      </c>
      <c r="F37" s="180">
        <v>565.0</v>
      </c>
      <c r="G37" s="113">
        <v>1604.0</v>
      </c>
      <c r="H37" s="177">
        <v>397.0</v>
      </c>
      <c r="I37" s="113">
        <v>331.0</v>
      </c>
      <c r="J37" s="113">
        <v>184.0</v>
      </c>
      <c r="K37" s="113">
        <v>0.0</v>
      </c>
      <c r="L37" s="206">
        <v>26335.0</v>
      </c>
      <c r="M37" s="113">
        <v>39472.0</v>
      </c>
      <c r="N37" s="113">
        <v>7495.0</v>
      </c>
      <c r="O37" s="113">
        <v>270.0</v>
      </c>
      <c r="P37" s="113">
        <v>0.0</v>
      </c>
      <c r="Q37" s="113">
        <v>728.0</v>
      </c>
      <c r="R37" s="113">
        <v>0.0</v>
      </c>
      <c r="S37" s="113">
        <v>64.0</v>
      </c>
      <c r="T37" s="114">
        <f t="shared" si="5"/>
        <v>4377</v>
      </c>
      <c r="U37" s="114">
        <f t="shared" si="6"/>
        <v>912</v>
      </c>
      <c r="V37" s="114">
        <f t="shared" si="7"/>
        <v>65807</v>
      </c>
      <c r="W37" s="114">
        <f t="shared" si="8"/>
        <v>8557</v>
      </c>
      <c r="X37" s="114">
        <f t="shared" si="1"/>
        <v>5289</v>
      </c>
      <c r="Y37" s="114">
        <f t="shared" si="2"/>
        <v>57250</v>
      </c>
      <c r="Z37" s="151">
        <f t="shared" si="3"/>
        <v>0.09238427948</v>
      </c>
      <c r="AA37" s="151">
        <f t="shared" si="4"/>
        <v>0.9076157205</v>
      </c>
      <c r="AB37" s="178"/>
      <c r="AC37" s="116"/>
      <c r="AD37" s="117"/>
      <c r="AE37" s="118" t="s">
        <v>75</v>
      </c>
      <c r="AF37" s="119">
        <v>4.0</v>
      </c>
      <c r="AG37" s="119">
        <v>12.0</v>
      </c>
      <c r="AH37" s="119">
        <v>1863.0</v>
      </c>
      <c r="AI37" s="120">
        <v>37.0</v>
      </c>
      <c r="AJ37" s="119">
        <v>26.0</v>
      </c>
      <c r="AK37" s="119">
        <v>38.0</v>
      </c>
      <c r="AL37" s="119">
        <v>13.0</v>
      </c>
      <c r="AM37" s="146">
        <v>26665.0</v>
      </c>
      <c r="AN37" s="131">
        <v>15825.0</v>
      </c>
      <c r="AO37" s="119">
        <v>2601.0</v>
      </c>
      <c r="AP37" s="119">
        <v>129.0</v>
      </c>
      <c r="AQ37" s="119">
        <v>0.0</v>
      </c>
      <c r="AR37" s="119">
        <v>40.0</v>
      </c>
      <c r="AS37" s="119">
        <v>70.0</v>
      </c>
      <c r="AT37" s="119">
        <v>40.0</v>
      </c>
      <c r="AU37" s="120">
        <v>12.0</v>
      </c>
      <c r="AV37" s="120">
        <v>1238.0</v>
      </c>
      <c r="AW37" s="120">
        <v>33348.0</v>
      </c>
      <c r="AX37" s="123">
        <v>0.037123665587141655</v>
      </c>
      <c r="AY37" s="123">
        <v>0.9628763344128584</v>
      </c>
      <c r="AZ37" s="116"/>
      <c r="BA37" s="116"/>
      <c r="BB37" s="116"/>
      <c r="BC37" s="116"/>
      <c r="BD37" s="116"/>
      <c r="BE37" s="116"/>
      <c r="BF37" s="116"/>
      <c r="BG37" s="116"/>
    </row>
    <row r="38" ht="25.5" customHeight="1">
      <c r="A38" s="152"/>
      <c r="B38" s="207" t="s">
        <v>38</v>
      </c>
      <c r="C38" s="208">
        <f t="shared" ref="C38:S38" si="9">SUM(C6:C37)</f>
        <v>32072</v>
      </c>
      <c r="D38" s="208">
        <f t="shared" si="9"/>
        <v>115438</v>
      </c>
      <c r="E38" s="208">
        <f t="shared" si="9"/>
        <v>1798</v>
      </c>
      <c r="F38" s="208">
        <f t="shared" si="9"/>
        <v>6565</v>
      </c>
      <c r="G38" s="208">
        <f t="shared" si="9"/>
        <v>22922</v>
      </c>
      <c r="H38" s="208">
        <f t="shared" si="9"/>
        <v>17353</v>
      </c>
      <c r="I38" s="208">
        <f t="shared" si="9"/>
        <v>9177</v>
      </c>
      <c r="J38" s="208">
        <f t="shared" si="9"/>
        <v>2263</v>
      </c>
      <c r="K38" s="208">
        <f t="shared" si="9"/>
        <v>219</v>
      </c>
      <c r="L38" s="208">
        <f t="shared" si="9"/>
        <v>2009190</v>
      </c>
      <c r="M38" s="208">
        <f t="shared" si="9"/>
        <v>2221421</v>
      </c>
      <c r="N38" s="208">
        <f t="shared" si="9"/>
        <v>41260</v>
      </c>
      <c r="O38" s="208">
        <f t="shared" si="9"/>
        <v>84003</v>
      </c>
      <c r="P38" s="208">
        <f t="shared" si="9"/>
        <v>402781</v>
      </c>
      <c r="Q38" s="208">
        <f t="shared" si="9"/>
        <v>8137</v>
      </c>
      <c r="R38" s="208">
        <f t="shared" si="9"/>
        <v>16942</v>
      </c>
      <c r="S38" s="208">
        <f t="shared" si="9"/>
        <v>2932</v>
      </c>
      <c r="T38" s="209">
        <f t="shared" si="5"/>
        <v>178795</v>
      </c>
      <c r="U38" s="209">
        <f t="shared" si="6"/>
        <v>29012</v>
      </c>
      <c r="V38" s="209">
        <f t="shared" si="7"/>
        <v>4230611</v>
      </c>
      <c r="W38" s="209">
        <f t="shared" si="8"/>
        <v>556055</v>
      </c>
      <c r="X38" s="208">
        <f t="shared" ref="X38:Y38" si="10">SUM(X6:X37)</f>
        <v>207807</v>
      </c>
      <c r="Y38" s="208">
        <f t="shared" si="10"/>
        <v>3674556</v>
      </c>
      <c r="Z38" s="210">
        <f t="shared" si="3"/>
        <v>0.05655295497</v>
      </c>
      <c r="AA38" s="211">
        <f t="shared" si="4"/>
        <v>0.943447045</v>
      </c>
      <c r="AB38" s="158"/>
      <c r="AC38" s="158"/>
      <c r="AD38" s="159"/>
      <c r="AE38" s="160" t="s">
        <v>38</v>
      </c>
      <c r="AF38" s="154">
        <v>27858.0</v>
      </c>
      <c r="AG38" s="154">
        <v>19864.0</v>
      </c>
      <c r="AH38" s="154">
        <v>86192.0</v>
      </c>
      <c r="AI38" s="154">
        <v>2167.0</v>
      </c>
      <c r="AJ38" s="154">
        <v>8029.0</v>
      </c>
      <c r="AK38" s="154">
        <v>9161.0</v>
      </c>
      <c r="AL38" s="154">
        <v>2228.0</v>
      </c>
      <c r="AM38" s="161">
        <v>2139747.0</v>
      </c>
      <c r="AN38" s="154">
        <v>1176019.0</v>
      </c>
      <c r="AO38" s="154">
        <v>29955.0</v>
      </c>
      <c r="AP38" s="154">
        <v>86911.0</v>
      </c>
      <c r="AQ38" s="154">
        <v>202530.0</v>
      </c>
      <c r="AR38" s="154">
        <v>4449.0</v>
      </c>
      <c r="AS38" s="154">
        <v>4069.0</v>
      </c>
      <c r="AT38" s="154">
        <v>4449.0</v>
      </c>
      <c r="AU38" s="154">
        <v>19864.0</v>
      </c>
      <c r="AV38" s="135">
        <v>187978.0</v>
      </c>
      <c r="AW38" s="135">
        <v>3860587.0</v>
      </c>
      <c r="AX38" s="136">
        <v>0.04869155908155936</v>
      </c>
      <c r="AY38" s="162">
        <v>0.9513084409184407</v>
      </c>
      <c r="AZ38" s="158"/>
      <c r="BA38" s="158"/>
      <c r="BB38" s="158"/>
      <c r="BC38" s="158"/>
      <c r="BD38" s="158"/>
      <c r="BE38" s="158"/>
      <c r="BF38" s="158"/>
      <c r="BG38" s="158"/>
    </row>
    <row r="39" ht="15.75" customHeight="1">
      <c r="A39" s="164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4"/>
      <c r="AU39" s="164"/>
      <c r="AV39" s="164"/>
      <c r="AW39" s="164"/>
      <c r="AX39" s="164"/>
      <c r="AY39" s="164"/>
      <c r="AZ39" s="164"/>
      <c r="BA39" s="164"/>
      <c r="BB39" s="164"/>
      <c r="BC39" s="164"/>
      <c r="BD39" s="164"/>
      <c r="BE39" s="164"/>
      <c r="BF39" s="164"/>
      <c r="BG39" s="164"/>
    </row>
    <row r="40" ht="15.75" customHeight="1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Z40" s="164"/>
      <c r="BA40" s="164"/>
      <c r="BB40" s="164"/>
      <c r="BC40" s="164"/>
      <c r="BD40" s="164"/>
      <c r="BE40" s="164"/>
      <c r="BF40" s="164"/>
      <c r="BG40" s="164"/>
    </row>
    <row r="41" ht="15.75" customHeight="1">
      <c r="A41" s="164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64"/>
      <c r="BG41" s="164"/>
    </row>
    <row r="42" ht="15.75" customHeight="1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</row>
    <row r="43" ht="15.75" customHeight="1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64"/>
    </row>
    <row r="44" ht="15.75" customHeight="1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</row>
    <row r="45" ht="15.75" customHeight="1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</row>
    <row r="46" ht="15.75" customHeight="1">
      <c r="A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</row>
    <row r="47" ht="15.75" customHeight="1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</row>
    <row r="48" ht="15.75" customHeight="1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</row>
    <row r="49" ht="15.75" customHeight="1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</row>
    <row r="50" ht="15.75" customHeight="1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</row>
    <row r="51" ht="15.75" customHeight="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</row>
    <row r="52" ht="15.75" customHeight="1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</row>
    <row r="53" ht="15.75" customHeight="1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</row>
    <row r="54" ht="15.75" customHeight="1">
      <c r="A54" s="165"/>
      <c r="B54" s="165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</row>
    <row r="55" ht="15.75" customHeight="1">
      <c r="A55" s="164"/>
      <c r="B55" s="166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</row>
    <row r="56" ht="15.75" customHeight="1">
      <c r="A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</row>
    <row r="57" ht="15.75" customHeight="1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</row>
    <row r="58" ht="15.75" customHeight="1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</row>
    <row r="59" ht="15.75" customHeight="1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</row>
    <row r="60" ht="15.75" customHeight="1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</row>
    <row r="61" ht="15.75" customHeight="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</row>
    <row r="62" ht="15.75" customHeight="1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</row>
    <row r="63" ht="15.75" customHeight="1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</row>
    <row r="64" ht="15.75" customHeight="1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</row>
    <row r="65" ht="15.75" customHeight="1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</row>
    <row r="66" ht="15.75" customHeight="1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</row>
    <row r="67" ht="15.75" customHeight="1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</row>
    <row r="68" ht="15.75" customHeight="1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</row>
    <row r="69" ht="15.75" customHeight="1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</row>
    <row r="70" ht="15.75" customHeight="1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</row>
    <row r="71" ht="15.75" customHeight="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</row>
    <row r="72" ht="15.75" customHeight="1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</row>
    <row r="73" ht="15.75" customHeight="1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</row>
    <row r="74" ht="15.75" customHeight="1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</row>
    <row r="75" ht="15.75" customHeight="1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</row>
    <row r="76" ht="15.75" customHeight="1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</row>
    <row r="77" ht="15.75" customHeight="1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</row>
    <row r="78" ht="15.75" customHeight="1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</row>
    <row r="79" ht="15.75" customHeight="1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</row>
    <row r="80" ht="15.75" customHeight="1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</row>
    <row r="81" ht="15.75" customHeight="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</row>
    <row r="82" ht="15.75" customHeight="1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</row>
    <row r="83" ht="15.75" customHeight="1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  <c r="BF83" s="164"/>
      <c r="BG83" s="164"/>
    </row>
    <row r="84" ht="15.75" customHeight="1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</row>
    <row r="85" ht="15.75" customHeight="1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F85" s="164"/>
      <c r="BG85" s="164"/>
    </row>
    <row r="86" ht="15.75" customHeight="1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</row>
    <row r="87" ht="15.75" customHeight="1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</row>
    <row r="88" ht="15.75" customHeight="1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  <c r="BF88" s="164"/>
      <c r="BG88" s="164"/>
    </row>
    <row r="89" ht="15.75" customHeight="1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4"/>
      <c r="BD89" s="164"/>
      <c r="BE89" s="164"/>
      <c r="BF89" s="164"/>
      <c r="BG89" s="164"/>
    </row>
    <row r="90" ht="15.75" customHeight="1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</row>
    <row r="91" ht="15.75" customHeight="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  <c r="AS91" s="164"/>
      <c r="AT91" s="164"/>
      <c r="AU91" s="164"/>
      <c r="AV91" s="164"/>
      <c r="AW91" s="164"/>
      <c r="AX91" s="164"/>
      <c r="AY91" s="164"/>
      <c r="AZ91" s="164"/>
      <c r="BA91" s="164"/>
      <c r="BB91" s="164"/>
      <c r="BC91" s="164"/>
      <c r="BD91" s="164"/>
      <c r="BE91" s="164"/>
      <c r="BF91" s="164"/>
      <c r="BG91" s="164"/>
    </row>
    <row r="92" ht="15.75" customHeight="1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164"/>
      <c r="BB92" s="164"/>
      <c r="BC92" s="164"/>
      <c r="BD92" s="164"/>
      <c r="BE92" s="164"/>
      <c r="BF92" s="164"/>
      <c r="BG92" s="164"/>
    </row>
    <row r="93" ht="15.75" customHeight="1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  <c r="AR93" s="164"/>
      <c r="AS93" s="164"/>
      <c r="AT93" s="164"/>
      <c r="AU93" s="164"/>
      <c r="AV93" s="164"/>
      <c r="AW93" s="164"/>
      <c r="AX93" s="164"/>
      <c r="AY93" s="164"/>
      <c r="AZ93" s="164"/>
      <c r="BA93" s="164"/>
      <c r="BB93" s="164"/>
      <c r="BC93" s="164"/>
      <c r="BD93" s="164"/>
      <c r="BE93" s="164"/>
      <c r="BF93" s="164"/>
      <c r="BG93" s="164"/>
    </row>
    <row r="94" ht="15.75" customHeight="1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  <c r="AO94" s="164"/>
      <c r="AP94" s="164"/>
      <c r="AQ94" s="164"/>
      <c r="AR94" s="164"/>
      <c r="AS94" s="164"/>
      <c r="AT94" s="164"/>
      <c r="AU94" s="164"/>
      <c r="AV94" s="164"/>
      <c r="AW94" s="164"/>
      <c r="AX94" s="164"/>
      <c r="AY94" s="164"/>
      <c r="AZ94" s="164"/>
      <c r="BA94" s="164"/>
      <c r="BB94" s="164"/>
      <c r="BC94" s="164"/>
      <c r="BD94" s="164"/>
      <c r="BE94" s="164"/>
      <c r="BF94" s="164"/>
      <c r="BG94" s="164"/>
    </row>
    <row r="95" ht="15.75" customHeight="1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64"/>
      <c r="AO95" s="164"/>
      <c r="AP95" s="164"/>
      <c r="AQ95" s="164"/>
      <c r="AR95" s="164"/>
      <c r="AS95" s="164"/>
      <c r="AT95" s="164"/>
      <c r="AU95" s="164"/>
      <c r="AV95" s="164"/>
      <c r="AW95" s="164"/>
      <c r="AX95" s="164"/>
      <c r="AY95" s="164"/>
      <c r="AZ95" s="164"/>
      <c r="BA95" s="164"/>
      <c r="BB95" s="164"/>
      <c r="BC95" s="164"/>
      <c r="BD95" s="164"/>
      <c r="BE95" s="164"/>
      <c r="BF95" s="164"/>
      <c r="BG95" s="164"/>
    </row>
    <row r="96" ht="15.75" customHeight="1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  <c r="AR96" s="164"/>
      <c r="AS96" s="164"/>
      <c r="AT96" s="164"/>
      <c r="AU96" s="164"/>
      <c r="AV96" s="164"/>
      <c r="AW96" s="164"/>
      <c r="AX96" s="164"/>
      <c r="AY96" s="164"/>
      <c r="AZ96" s="164"/>
      <c r="BA96" s="164"/>
      <c r="BB96" s="164"/>
      <c r="BC96" s="164"/>
      <c r="BD96" s="164"/>
      <c r="BE96" s="164"/>
      <c r="BF96" s="164"/>
      <c r="BG96" s="164"/>
    </row>
    <row r="97" ht="15.75" customHeight="1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</row>
    <row r="98" ht="15.75" customHeight="1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  <c r="AM98" s="164"/>
      <c r="AN98" s="164"/>
      <c r="AO98" s="164"/>
      <c r="AP98" s="164"/>
      <c r="AQ98" s="164"/>
      <c r="AR98" s="164"/>
      <c r="AS98" s="164"/>
      <c r="AT98" s="164"/>
      <c r="AU98" s="164"/>
      <c r="AV98" s="164"/>
      <c r="AW98" s="164"/>
      <c r="AX98" s="164"/>
      <c r="AY98" s="164"/>
      <c r="AZ98" s="164"/>
      <c r="BA98" s="164"/>
      <c r="BB98" s="164"/>
      <c r="BC98" s="164"/>
      <c r="BD98" s="164"/>
      <c r="BE98" s="164"/>
      <c r="BF98" s="164"/>
      <c r="BG98" s="164"/>
    </row>
    <row r="99" ht="15.75" customHeight="1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  <c r="AO99" s="164"/>
      <c r="AP99" s="164"/>
      <c r="AQ99" s="164"/>
      <c r="AR99" s="164"/>
      <c r="AS99" s="164"/>
      <c r="AT99" s="164"/>
      <c r="AU99" s="164"/>
      <c r="AV99" s="164"/>
      <c r="AW99" s="164"/>
      <c r="AX99" s="164"/>
      <c r="AY99" s="164"/>
      <c r="AZ99" s="164"/>
      <c r="BA99" s="164"/>
      <c r="BB99" s="164"/>
      <c r="BC99" s="164"/>
      <c r="BD99" s="164"/>
      <c r="BE99" s="164"/>
      <c r="BF99" s="164"/>
      <c r="BG99" s="164"/>
    </row>
    <row r="100" ht="15.75" customHeight="1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  <c r="AO100" s="164"/>
      <c r="AP100" s="164"/>
      <c r="AQ100" s="164"/>
      <c r="AR100" s="164"/>
      <c r="AS100" s="164"/>
      <c r="AT100" s="164"/>
      <c r="AU100" s="164"/>
      <c r="AV100" s="164"/>
      <c r="AW100" s="164"/>
      <c r="AX100" s="164"/>
      <c r="AY100" s="164"/>
      <c r="AZ100" s="164"/>
      <c r="BA100" s="164"/>
      <c r="BB100" s="164"/>
      <c r="BC100" s="164"/>
      <c r="BD100" s="164"/>
      <c r="BE100" s="164"/>
      <c r="BF100" s="164"/>
      <c r="BG100" s="164"/>
    </row>
    <row r="101" ht="15.75" customHeight="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  <c r="AO101" s="164"/>
      <c r="AP101" s="164"/>
      <c r="AQ101" s="164"/>
      <c r="AR101" s="164"/>
      <c r="AS101" s="164"/>
      <c r="AT101" s="164"/>
      <c r="AU101" s="164"/>
      <c r="AV101" s="164"/>
      <c r="AW101" s="164"/>
      <c r="AX101" s="164"/>
      <c r="AY101" s="164"/>
      <c r="AZ101" s="164"/>
      <c r="BA101" s="164"/>
      <c r="BB101" s="164"/>
      <c r="BC101" s="164"/>
      <c r="BD101" s="164"/>
      <c r="BE101" s="164"/>
      <c r="BF101" s="164"/>
      <c r="BG101" s="164"/>
    </row>
    <row r="102" ht="15.75" customHeight="1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  <c r="AO102" s="164"/>
      <c r="AP102" s="164"/>
      <c r="AQ102" s="164"/>
      <c r="AR102" s="164"/>
      <c r="AS102" s="164"/>
      <c r="AT102" s="164"/>
      <c r="AU102" s="164"/>
      <c r="AV102" s="164"/>
      <c r="AW102" s="164"/>
      <c r="AX102" s="164"/>
      <c r="AY102" s="164"/>
      <c r="AZ102" s="164"/>
      <c r="BA102" s="164"/>
      <c r="BB102" s="164"/>
      <c r="BC102" s="164"/>
      <c r="BD102" s="164"/>
      <c r="BE102" s="164"/>
      <c r="BF102" s="164"/>
      <c r="BG102" s="164"/>
    </row>
    <row r="103" ht="15.75" customHeight="1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/>
      <c r="AL103" s="164"/>
      <c r="AM103" s="164"/>
      <c r="AN103" s="164"/>
      <c r="AO103" s="164"/>
      <c r="AP103" s="164"/>
      <c r="AQ103" s="164"/>
      <c r="AR103" s="164"/>
      <c r="AS103" s="164"/>
      <c r="AT103" s="164"/>
      <c r="AU103" s="164"/>
      <c r="AV103" s="164"/>
      <c r="AW103" s="164"/>
      <c r="AX103" s="164"/>
      <c r="AY103" s="164"/>
      <c r="AZ103" s="164"/>
      <c r="BA103" s="164"/>
      <c r="BB103" s="164"/>
      <c r="BC103" s="164"/>
      <c r="BD103" s="164"/>
      <c r="BE103" s="164"/>
      <c r="BF103" s="164"/>
      <c r="BG103" s="164"/>
    </row>
    <row r="104" ht="15.75" customHeight="1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4"/>
      <c r="AT104" s="164"/>
      <c r="AU104" s="164"/>
      <c r="AV104" s="164"/>
      <c r="AW104" s="164"/>
      <c r="AX104" s="164"/>
      <c r="AY104" s="164"/>
      <c r="AZ104" s="164"/>
      <c r="BA104" s="164"/>
      <c r="BB104" s="164"/>
      <c r="BC104" s="164"/>
      <c r="BD104" s="164"/>
      <c r="BE104" s="164"/>
      <c r="BF104" s="164"/>
      <c r="BG104" s="164"/>
    </row>
    <row r="105" ht="15.75" customHeight="1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4"/>
      <c r="AT105" s="164"/>
      <c r="AU105" s="164"/>
      <c r="AV105" s="164"/>
      <c r="AW105" s="164"/>
      <c r="AX105" s="164"/>
      <c r="AY105" s="164"/>
      <c r="AZ105" s="164"/>
      <c r="BA105" s="164"/>
      <c r="BB105" s="164"/>
      <c r="BC105" s="164"/>
      <c r="BD105" s="164"/>
      <c r="BE105" s="164"/>
      <c r="BF105" s="164"/>
      <c r="BG105" s="164"/>
    </row>
    <row r="106" ht="15.75" customHeight="1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4"/>
      <c r="AT106" s="164"/>
      <c r="AU106" s="164"/>
      <c r="AV106" s="164"/>
      <c r="AW106" s="164"/>
      <c r="AX106" s="164"/>
      <c r="AY106" s="164"/>
      <c r="AZ106" s="164"/>
      <c r="BA106" s="164"/>
      <c r="BB106" s="164"/>
      <c r="BC106" s="164"/>
      <c r="BD106" s="164"/>
      <c r="BE106" s="164"/>
      <c r="BF106" s="164"/>
      <c r="BG106" s="164"/>
    </row>
    <row r="107" ht="15.75" customHeight="1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4"/>
      <c r="AT107" s="164"/>
      <c r="AU107" s="164"/>
      <c r="AV107" s="164"/>
      <c r="AW107" s="164"/>
      <c r="AX107" s="164"/>
      <c r="AY107" s="164"/>
      <c r="AZ107" s="164"/>
      <c r="BA107" s="164"/>
      <c r="BB107" s="164"/>
      <c r="BC107" s="164"/>
      <c r="BD107" s="164"/>
      <c r="BE107" s="164"/>
      <c r="BF107" s="164"/>
      <c r="BG107" s="164"/>
    </row>
    <row r="108" ht="15.75" customHeight="1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  <c r="AR108" s="164"/>
      <c r="AS108" s="164"/>
      <c r="AT108" s="164"/>
      <c r="AU108" s="164"/>
      <c r="AV108" s="164"/>
      <c r="AW108" s="164"/>
      <c r="AX108" s="164"/>
      <c r="AY108" s="164"/>
      <c r="AZ108" s="164"/>
      <c r="BA108" s="164"/>
      <c r="BB108" s="164"/>
      <c r="BC108" s="164"/>
      <c r="BD108" s="164"/>
      <c r="BE108" s="164"/>
      <c r="BF108" s="164"/>
      <c r="BG108" s="164"/>
    </row>
    <row r="109" ht="15.75" customHeight="1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  <c r="AM109" s="164"/>
      <c r="AN109" s="164"/>
      <c r="AO109" s="164"/>
      <c r="AP109" s="164"/>
      <c r="AQ109" s="164"/>
      <c r="AR109" s="164"/>
      <c r="AS109" s="164"/>
      <c r="AT109" s="164"/>
      <c r="AU109" s="164"/>
      <c r="AV109" s="164"/>
      <c r="AW109" s="164"/>
      <c r="AX109" s="164"/>
      <c r="AY109" s="164"/>
      <c r="AZ109" s="164"/>
      <c r="BA109" s="164"/>
      <c r="BB109" s="164"/>
      <c r="BC109" s="164"/>
      <c r="BD109" s="164"/>
      <c r="BE109" s="164"/>
      <c r="BF109" s="164"/>
      <c r="BG109" s="164"/>
    </row>
    <row r="110" ht="15.75" customHeight="1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64"/>
      <c r="AO110" s="164"/>
      <c r="AP110" s="164"/>
      <c r="AQ110" s="164"/>
      <c r="AR110" s="164"/>
      <c r="AS110" s="164"/>
      <c r="AT110" s="164"/>
      <c r="AU110" s="164"/>
      <c r="AV110" s="164"/>
      <c r="AW110" s="164"/>
      <c r="AX110" s="164"/>
      <c r="AY110" s="164"/>
      <c r="AZ110" s="164"/>
      <c r="BA110" s="164"/>
      <c r="BB110" s="164"/>
      <c r="BC110" s="164"/>
      <c r="BD110" s="164"/>
      <c r="BE110" s="164"/>
      <c r="BF110" s="164"/>
      <c r="BG110" s="164"/>
    </row>
    <row r="111" ht="15.75" customHeight="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  <c r="AM111" s="164"/>
      <c r="AN111" s="164"/>
      <c r="AO111" s="164"/>
      <c r="AP111" s="164"/>
      <c r="AQ111" s="164"/>
      <c r="AR111" s="164"/>
      <c r="AS111" s="164"/>
      <c r="AT111" s="164"/>
      <c r="AU111" s="164"/>
      <c r="AV111" s="164"/>
      <c r="AW111" s="164"/>
      <c r="AX111" s="164"/>
      <c r="AY111" s="164"/>
      <c r="AZ111" s="164"/>
      <c r="BA111" s="164"/>
      <c r="BB111" s="164"/>
      <c r="BC111" s="164"/>
      <c r="BD111" s="164"/>
      <c r="BE111" s="164"/>
      <c r="BF111" s="164"/>
      <c r="BG111" s="164"/>
    </row>
    <row r="112" ht="15.75" customHeight="1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64"/>
      <c r="AO112" s="164"/>
      <c r="AP112" s="164"/>
      <c r="AQ112" s="164"/>
      <c r="AR112" s="164"/>
      <c r="AS112" s="164"/>
      <c r="AT112" s="164"/>
      <c r="AU112" s="164"/>
      <c r="AV112" s="164"/>
      <c r="AW112" s="164"/>
      <c r="AX112" s="164"/>
      <c r="AY112" s="164"/>
      <c r="AZ112" s="164"/>
      <c r="BA112" s="164"/>
      <c r="BB112" s="164"/>
      <c r="BC112" s="164"/>
      <c r="BD112" s="164"/>
      <c r="BE112" s="164"/>
      <c r="BF112" s="164"/>
      <c r="BG112" s="164"/>
    </row>
    <row r="113" ht="15.75" customHeight="1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  <c r="AM113" s="164"/>
      <c r="AN113" s="164"/>
      <c r="AO113" s="164"/>
      <c r="AP113" s="164"/>
      <c r="AQ113" s="164"/>
      <c r="AR113" s="164"/>
      <c r="AS113" s="164"/>
      <c r="AT113" s="164"/>
      <c r="AU113" s="164"/>
      <c r="AV113" s="164"/>
      <c r="AW113" s="164"/>
      <c r="AX113" s="164"/>
      <c r="AY113" s="164"/>
      <c r="AZ113" s="164"/>
      <c r="BA113" s="164"/>
      <c r="BB113" s="164"/>
      <c r="BC113" s="164"/>
      <c r="BD113" s="164"/>
      <c r="BE113" s="164"/>
      <c r="BF113" s="164"/>
      <c r="BG113" s="164"/>
    </row>
    <row r="114" ht="15.75" customHeight="1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  <c r="AM114" s="164"/>
      <c r="AN114" s="164"/>
      <c r="AO114" s="164"/>
      <c r="AP114" s="164"/>
      <c r="AQ114" s="164"/>
      <c r="AR114" s="164"/>
      <c r="AS114" s="164"/>
      <c r="AT114" s="164"/>
      <c r="AU114" s="164"/>
      <c r="AV114" s="164"/>
      <c r="AW114" s="164"/>
      <c r="AX114" s="164"/>
      <c r="AY114" s="164"/>
      <c r="AZ114" s="164"/>
      <c r="BA114" s="164"/>
      <c r="BB114" s="164"/>
      <c r="BC114" s="164"/>
      <c r="BD114" s="164"/>
      <c r="BE114" s="164"/>
      <c r="BF114" s="164"/>
      <c r="BG114" s="164"/>
    </row>
    <row r="115" ht="15.75" customHeight="1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  <c r="AM115" s="164"/>
      <c r="AN115" s="164"/>
      <c r="AO115" s="164"/>
      <c r="AP115" s="164"/>
      <c r="AQ115" s="164"/>
      <c r="AR115" s="164"/>
      <c r="AS115" s="164"/>
      <c r="AT115" s="164"/>
      <c r="AU115" s="164"/>
      <c r="AV115" s="164"/>
      <c r="AW115" s="164"/>
      <c r="AX115" s="164"/>
      <c r="AY115" s="164"/>
      <c r="AZ115" s="164"/>
      <c r="BA115" s="164"/>
      <c r="BB115" s="164"/>
      <c r="BC115" s="164"/>
      <c r="BD115" s="164"/>
      <c r="BE115" s="164"/>
      <c r="BF115" s="164"/>
      <c r="BG115" s="164"/>
    </row>
    <row r="116" ht="15.75" customHeight="1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  <c r="AM116" s="164"/>
      <c r="AN116" s="164"/>
      <c r="AO116" s="164"/>
      <c r="AP116" s="164"/>
      <c r="AQ116" s="164"/>
      <c r="AR116" s="164"/>
      <c r="AS116" s="164"/>
      <c r="AT116" s="164"/>
      <c r="AU116" s="164"/>
      <c r="AV116" s="164"/>
      <c r="AW116" s="164"/>
      <c r="AX116" s="164"/>
      <c r="AY116" s="164"/>
      <c r="AZ116" s="164"/>
      <c r="BA116" s="164"/>
      <c r="BB116" s="164"/>
      <c r="BC116" s="164"/>
      <c r="BD116" s="164"/>
      <c r="BE116" s="164"/>
      <c r="BF116" s="164"/>
      <c r="BG116" s="164"/>
    </row>
    <row r="117" ht="15.75" customHeight="1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  <c r="AJ117" s="164"/>
      <c r="AK117" s="164"/>
      <c r="AL117" s="164"/>
      <c r="AM117" s="164"/>
      <c r="AN117" s="164"/>
      <c r="AO117" s="164"/>
      <c r="AP117" s="164"/>
      <c r="AQ117" s="164"/>
      <c r="AR117" s="164"/>
      <c r="AS117" s="164"/>
      <c r="AT117" s="164"/>
      <c r="AU117" s="164"/>
      <c r="AV117" s="164"/>
      <c r="AW117" s="164"/>
      <c r="AX117" s="164"/>
      <c r="AY117" s="164"/>
      <c r="AZ117" s="164"/>
      <c r="BA117" s="164"/>
      <c r="BB117" s="164"/>
      <c r="BC117" s="164"/>
      <c r="BD117" s="164"/>
      <c r="BE117" s="164"/>
      <c r="BF117" s="164"/>
      <c r="BG117" s="164"/>
    </row>
    <row r="118" ht="15.75" customHeight="1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64"/>
      <c r="AJ118" s="164"/>
      <c r="AK118" s="164"/>
      <c r="AL118" s="164"/>
      <c r="AM118" s="164"/>
      <c r="AN118" s="164"/>
      <c r="AO118" s="164"/>
      <c r="AP118" s="164"/>
      <c r="AQ118" s="164"/>
      <c r="AR118" s="164"/>
      <c r="AS118" s="164"/>
      <c r="AT118" s="164"/>
      <c r="AU118" s="164"/>
      <c r="AV118" s="164"/>
      <c r="AW118" s="164"/>
      <c r="AX118" s="164"/>
      <c r="AY118" s="164"/>
      <c r="AZ118" s="164"/>
      <c r="BA118" s="164"/>
      <c r="BB118" s="164"/>
      <c r="BC118" s="164"/>
      <c r="BD118" s="164"/>
      <c r="BE118" s="164"/>
      <c r="BF118" s="164"/>
      <c r="BG118" s="164"/>
    </row>
    <row r="119" ht="15.75" customHeight="1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64"/>
      <c r="AK119" s="164"/>
      <c r="AL119" s="164"/>
      <c r="AM119" s="164"/>
      <c r="AN119" s="164"/>
      <c r="AO119" s="164"/>
      <c r="AP119" s="164"/>
      <c r="AQ119" s="164"/>
      <c r="AR119" s="164"/>
      <c r="AS119" s="164"/>
      <c r="AT119" s="164"/>
      <c r="AU119" s="164"/>
      <c r="AV119" s="164"/>
      <c r="AW119" s="164"/>
      <c r="AX119" s="164"/>
      <c r="AY119" s="164"/>
      <c r="AZ119" s="164"/>
      <c r="BA119" s="164"/>
      <c r="BB119" s="164"/>
      <c r="BC119" s="164"/>
      <c r="BD119" s="164"/>
      <c r="BE119" s="164"/>
      <c r="BF119" s="164"/>
      <c r="BG119" s="164"/>
    </row>
    <row r="120" ht="15.75" customHeight="1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  <c r="AO120" s="164"/>
      <c r="AP120" s="164"/>
      <c r="AQ120" s="164"/>
      <c r="AR120" s="164"/>
      <c r="AS120" s="164"/>
      <c r="AT120" s="164"/>
      <c r="AU120" s="164"/>
      <c r="AV120" s="164"/>
      <c r="AW120" s="164"/>
      <c r="AX120" s="164"/>
      <c r="AY120" s="164"/>
      <c r="AZ120" s="164"/>
      <c r="BA120" s="164"/>
      <c r="BB120" s="164"/>
      <c r="BC120" s="164"/>
      <c r="BD120" s="164"/>
      <c r="BE120" s="164"/>
      <c r="BF120" s="164"/>
      <c r="BG120" s="164"/>
    </row>
    <row r="121" ht="15.75" customHeight="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  <c r="AH121" s="164"/>
      <c r="AI121" s="164"/>
      <c r="AJ121" s="164"/>
      <c r="AK121" s="164"/>
      <c r="AL121" s="164"/>
      <c r="AM121" s="164"/>
      <c r="AN121" s="164"/>
      <c r="AO121" s="164"/>
      <c r="AP121" s="164"/>
      <c r="AQ121" s="164"/>
      <c r="AR121" s="164"/>
      <c r="AS121" s="164"/>
      <c r="AT121" s="164"/>
      <c r="AU121" s="164"/>
      <c r="AV121" s="164"/>
      <c r="AW121" s="164"/>
      <c r="AX121" s="164"/>
      <c r="AY121" s="164"/>
      <c r="AZ121" s="164"/>
      <c r="BA121" s="164"/>
      <c r="BB121" s="164"/>
      <c r="BC121" s="164"/>
      <c r="BD121" s="164"/>
      <c r="BE121" s="164"/>
      <c r="BF121" s="164"/>
      <c r="BG121" s="164"/>
    </row>
    <row r="122" ht="15.75" customHeight="1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64"/>
      <c r="AM122" s="164"/>
      <c r="AN122" s="164"/>
      <c r="AO122" s="164"/>
      <c r="AP122" s="164"/>
      <c r="AQ122" s="164"/>
      <c r="AR122" s="164"/>
      <c r="AS122" s="164"/>
      <c r="AT122" s="164"/>
      <c r="AU122" s="164"/>
      <c r="AV122" s="164"/>
      <c r="AW122" s="164"/>
      <c r="AX122" s="164"/>
      <c r="AY122" s="164"/>
      <c r="AZ122" s="164"/>
      <c r="BA122" s="164"/>
      <c r="BB122" s="164"/>
      <c r="BC122" s="164"/>
      <c r="BD122" s="164"/>
      <c r="BE122" s="164"/>
      <c r="BF122" s="164"/>
      <c r="BG122" s="164"/>
    </row>
    <row r="123" ht="15.75" customHeight="1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64"/>
      <c r="AJ123" s="164"/>
      <c r="AK123" s="164"/>
      <c r="AL123" s="164"/>
      <c r="AM123" s="164"/>
      <c r="AN123" s="164"/>
      <c r="AO123" s="164"/>
      <c r="AP123" s="164"/>
      <c r="AQ123" s="164"/>
      <c r="AR123" s="164"/>
      <c r="AS123" s="164"/>
      <c r="AT123" s="164"/>
      <c r="AU123" s="164"/>
      <c r="AV123" s="164"/>
      <c r="AW123" s="164"/>
      <c r="AX123" s="164"/>
      <c r="AY123" s="164"/>
      <c r="AZ123" s="164"/>
      <c r="BA123" s="164"/>
      <c r="BB123" s="164"/>
      <c r="BC123" s="164"/>
      <c r="BD123" s="164"/>
      <c r="BE123" s="164"/>
      <c r="BF123" s="164"/>
      <c r="BG123" s="164"/>
    </row>
    <row r="124" ht="15.75" customHeight="1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164"/>
      <c r="AJ124" s="164"/>
      <c r="AK124" s="164"/>
      <c r="AL124" s="164"/>
      <c r="AM124" s="164"/>
      <c r="AN124" s="164"/>
      <c r="AO124" s="164"/>
      <c r="AP124" s="164"/>
      <c r="AQ124" s="164"/>
      <c r="AR124" s="164"/>
      <c r="AS124" s="164"/>
      <c r="AT124" s="164"/>
      <c r="AU124" s="164"/>
      <c r="AV124" s="164"/>
      <c r="AW124" s="164"/>
      <c r="AX124" s="164"/>
      <c r="AY124" s="164"/>
      <c r="AZ124" s="164"/>
      <c r="BA124" s="164"/>
      <c r="BB124" s="164"/>
      <c r="BC124" s="164"/>
      <c r="BD124" s="164"/>
      <c r="BE124" s="164"/>
      <c r="BF124" s="164"/>
      <c r="BG124" s="164"/>
    </row>
    <row r="125" ht="15.75" customHeight="1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  <c r="AH125" s="164"/>
      <c r="AI125" s="164"/>
      <c r="AJ125" s="164"/>
      <c r="AK125" s="164"/>
      <c r="AL125" s="164"/>
      <c r="AM125" s="164"/>
      <c r="AN125" s="164"/>
      <c r="AO125" s="164"/>
      <c r="AP125" s="164"/>
      <c r="AQ125" s="164"/>
      <c r="AR125" s="164"/>
      <c r="AS125" s="164"/>
      <c r="AT125" s="164"/>
      <c r="AU125" s="164"/>
      <c r="AV125" s="164"/>
      <c r="AW125" s="164"/>
      <c r="AX125" s="164"/>
      <c r="AY125" s="164"/>
      <c r="AZ125" s="164"/>
      <c r="BA125" s="164"/>
      <c r="BB125" s="164"/>
      <c r="BC125" s="164"/>
      <c r="BD125" s="164"/>
      <c r="BE125" s="164"/>
      <c r="BF125" s="164"/>
      <c r="BG125" s="164"/>
    </row>
    <row r="126" ht="15.75" customHeight="1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64"/>
      <c r="AJ126" s="164"/>
      <c r="AK126" s="164"/>
      <c r="AL126" s="164"/>
      <c r="AM126" s="164"/>
      <c r="AN126" s="164"/>
      <c r="AO126" s="164"/>
      <c r="AP126" s="164"/>
      <c r="AQ126" s="164"/>
      <c r="AR126" s="164"/>
      <c r="AS126" s="164"/>
      <c r="AT126" s="164"/>
      <c r="AU126" s="164"/>
      <c r="AV126" s="164"/>
      <c r="AW126" s="164"/>
      <c r="AX126" s="164"/>
      <c r="AY126" s="164"/>
      <c r="AZ126" s="164"/>
      <c r="BA126" s="164"/>
      <c r="BB126" s="164"/>
      <c r="BC126" s="164"/>
      <c r="BD126" s="164"/>
      <c r="BE126" s="164"/>
      <c r="BF126" s="164"/>
      <c r="BG126" s="164"/>
    </row>
    <row r="127" ht="15.75" customHeight="1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  <c r="AH127" s="164"/>
      <c r="AI127" s="164"/>
      <c r="AJ127" s="164"/>
      <c r="AK127" s="164"/>
      <c r="AL127" s="164"/>
      <c r="AM127" s="164"/>
      <c r="AN127" s="164"/>
      <c r="AO127" s="164"/>
      <c r="AP127" s="164"/>
      <c r="AQ127" s="164"/>
      <c r="AR127" s="164"/>
      <c r="AS127" s="164"/>
      <c r="AT127" s="164"/>
      <c r="AU127" s="164"/>
      <c r="AV127" s="164"/>
      <c r="AW127" s="164"/>
      <c r="AX127" s="164"/>
      <c r="AY127" s="164"/>
      <c r="AZ127" s="164"/>
      <c r="BA127" s="164"/>
      <c r="BB127" s="164"/>
      <c r="BC127" s="164"/>
      <c r="BD127" s="164"/>
      <c r="BE127" s="164"/>
      <c r="BF127" s="164"/>
      <c r="BG127" s="164"/>
    </row>
    <row r="128" ht="15.75" customHeight="1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  <c r="AH128" s="164"/>
      <c r="AI128" s="164"/>
      <c r="AJ128" s="164"/>
      <c r="AK128" s="164"/>
      <c r="AL128" s="164"/>
      <c r="AM128" s="164"/>
      <c r="AN128" s="164"/>
      <c r="AO128" s="164"/>
      <c r="AP128" s="164"/>
      <c r="AQ128" s="164"/>
      <c r="AR128" s="164"/>
      <c r="AS128" s="164"/>
      <c r="AT128" s="164"/>
      <c r="AU128" s="164"/>
      <c r="AV128" s="164"/>
      <c r="AW128" s="164"/>
      <c r="AX128" s="164"/>
      <c r="AY128" s="164"/>
      <c r="AZ128" s="164"/>
      <c r="BA128" s="164"/>
      <c r="BB128" s="164"/>
      <c r="BC128" s="164"/>
      <c r="BD128" s="164"/>
      <c r="BE128" s="164"/>
      <c r="BF128" s="164"/>
      <c r="BG128" s="164"/>
    </row>
    <row r="129" ht="15.75" customHeight="1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/>
      <c r="AJ129" s="164"/>
      <c r="AK129" s="164"/>
      <c r="AL129" s="164"/>
      <c r="AM129" s="164"/>
      <c r="AN129" s="164"/>
      <c r="AO129" s="164"/>
      <c r="AP129" s="164"/>
      <c r="AQ129" s="164"/>
      <c r="AR129" s="164"/>
      <c r="AS129" s="164"/>
      <c r="AT129" s="164"/>
      <c r="AU129" s="164"/>
      <c r="AV129" s="164"/>
      <c r="AW129" s="164"/>
      <c r="AX129" s="164"/>
      <c r="AY129" s="164"/>
      <c r="AZ129" s="164"/>
      <c r="BA129" s="164"/>
      <c r="BB129" s="164"/>
      <c r="BC129" s="164"/>
      <c r="BD129" s="164"/>
      <c r="BE129" s="164"/>
      <c r="BF129" s="164"/>
      <c r="BG129" s="164"/>
    </row>
    <row r="130" ht="15.75" customHeight="1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  <c r="AM130" s="164"/>
      <c r="AN130" s="164"/>
      <c r="AO130" s="164"/>
      <c r="AP130" s="164"/>
      <c r="AQ130" s="164"/>
      <c r="AR130" s="164"/>
      <c r="AS130" s="164"/>
      <c r="AT130" s="164"/>
      <c r="AU130" s="164"/>
      <c r="AV130" s="164"/>
      <c r="AW130" s="164"/>
      <c r="AX130" s="164"/>
      <c r="AY130" s="164"/>
      <c r="AZ130" s="164"/>
      <c r="BA130" s="164"/>
      <c r="BB130" s="164"/>
      <c r="BC130" s="164"/>
      <c r="BD130" s="164"/>
      <c r="BE130" s="164"/>
      <c r="BF130" s="164"/>
      <c r="BG130" s="164"/>
    </row>
    <row r="131" ht="15.75" customHeight="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64"/>
      <c r="AM131" s="164"/>
      <c r="AN131" s="164"/>
      <c r="AO131" s="164"/>
      <c r="AP131" s="164"/>
      <c r="AQ131" s="164"/>
      <c r="AR131" s="164"/>
      <c r="AS131" s="164"/>
      <c r="AT131" s="164"/>
      <c r="AU131" s="164"/>
      <c r="AV131" s="164"/>
      <c r="AW131" s="164"/>
      <c r="AX131" s="164"/>
      <c r="AY131" s="164"/>
      <c r="AZ131" s="164"/>
      <c r="BA131" s="164"/>
      <c r="BB131" s="164"/>
      <c r="BC131" s="164"/>
      <c r="BD131" s="164"/>
      <c r="BE131" s="164"/>
      <c r="BF131" s="164"/>
      <c r="BG131" s="164"/>
    </row>
    <row r="132" ht="15.75" customHeight="1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64"/>
      <c r="AJ132" s="164"/>
      <c r="AK132" s="164"/>
      <c r="AL132" s="164"/>
      <c r="AM132" s="164"/>
      <c r="AN132" s="164"/>
      <c r="AO132" s="164"/>
      <c r="AP132" s="164"/>
      <c r="AQ132" s="164"/>
      <c r="AR132" s="164"/>
      <c r="AS132" s="164"/>
      <c r="AT132" s="164"/>
      <c r="AU132" s="164"/>
      <c r="AV132" s="164"/>
      <c r="AW132" s="164"/>
      <c r="AX132" s="164"/>
      <c r="AY132" s="164"/>
      <c r="AZ132" s="164"/>
      <c r="BA132" s="164"/>
      <c r="BB132" s="164"/>
      <c r="BC132" s="164"/>
      <c r="BD132" s="164"/>
      <c r="BE132" s="164"/>
      <c r="BF132" s="164"/>
      <c r="BG132" s="164"/>
    </row>
    <row r="133" ht="15.75" customHeight="1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64"/>
      <c r="AJ133" s="164"/>
      <c r="AK133" s="164"/>
      <c r="AL133" s="164"/>
      <c r="AM133" s="164"/>
      <c r="AN133" s="164"/>
      <c r="AO133" s="164"/>
      <c r="AP133" s="164"/>
      <c r="AQ133" s="164"/>
      <c r="AR133" s="164"/>
      <c r="AS133" s="164"/>
      <c r="AT133" s="164"/>
      <c r="AU133" s="164"/>
      <c r="AV133" s="164"/>
      <c r="AW133" s="164"/>
      <c r="AX133" s="164"/>
      <c r="AY133" s="164"/>
      <c r="AZ133" s="164"/>
      <c r="BA133" s="164"/>
      <c r="BB133" s="164"/>
      <c r="BC133" s="164"/>
      <c r="BD133" s="164"/>
      <c r="BE133" s="164"/>
      <c r="BF133" s="164"/>
      <c r="BG133" s="164"/>
    </row>
    <row r="134" ht="15.75" customHeight="1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  <c r="AO134" s="164"/>
      <c r="AP134" s="164"/>
      <c r="AQ134" s="164"/>
      <c r="AR134" s="164"/>
      <c r="AS134" s="164"/>
      <c r="AT134" s="164"/>
      <c r="AU134" s="164"/>
      <c r="AV134" s="164"/>
      <c r="AW134" s="164"/>
      <c r="AX134" s="164"/>
      <c r="AY134" s="164"/>
      <c r="AZ134" s="164"/>
      <c r="BA134" s="164"/>
      <c r="BB134" s="164"/>
      <c r="BC134" s="164"/>
      <c r="BD134" s="164"/>
      <c r="BE134" s="164"/>
      <c r="BF134" s="164"/>
      <c r="BG134" s="164"/>
    </row>
    <row r="135" ht="15.75" customHeight="1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  <c r="AO135" s="164"/>
      <c r="AP135" s="164"/>
      <c r="AQ135" s="164"/>
      <c r="AR135" s="164"/>
      <c r="AS135" s="164"/>
      <c r="AT135" s="164"/>
      <c r="AU135" s="164"/>
      <c r="AV135" s="164"/>
      <c r="AW135" s="164"/>
      <c r="AX135" s="164"/>
      <c r="AY135" s="164"/>
      <c r="AZ135" s="164"/>
      <c r="BA135" s="164"/>
      <c r="BB135" s="164"/>
      <c r="BC135" s="164"/>
      <c r="BD135" s="164"/>
      <c r="BE135" s="164"/>
      <c r="BF135" s="164"/>
      <c r="BG135" s="164"/>
    </row>
    <row r="136" ht="15.75" customHeight="1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  <c r="AE136" s="164"/>
      <c r="AF136" s="164"/>
      <c r="AG136" s="164"/>
      <c r="AH136" s="164"/>
      <c r="AI136" s="164"/>
      <c r="AJ136" s="164"/>
      <c r="AK136" s="164"/>
      <c r="AL136" s="164"/>
      <c r="AM136" s="164"/>
      <c r="AN136" s="164"/>
      <c r="AO136" s="164"/>
      <c r="AP136" s="164"/>
      <c r="AQ136" s="164"/>
      <c r="AR136" s="164"/>
      <c r="AS136" s="164"/>
      <c r="AT136" s="164"/>
      <c r="AU136" s="164"/>
      <c r="AV136" s="164"/>
      <c r="AW136" s="164"/>
      <c r="AX136" s="164"/>
      <c r="AY136" s="164"/>
      <c r="AZ136" s="164"/>
      <c r="BA136" s="164"/>
      <c r="BB136" s="164"/>
      <c r="BC136" s="164"/>
      <c r="BD136" s="164"/>
      <c r="BE136" s="164"/>
      <c r="BF136" s="164"/>
      <c r="BG136" s="164"/>
    </row>
    <row r="137" ht="15.75" customHeight="1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64"/>
      <c r="AJ137" s="164"/>
      <c r="AK137" s="164"/>
      <c r="AL137" s="164"/>
      <c r="AM137" s="164"/>
      <c r="AN137" s="164"/>
      <c r="AO137" s="164"/>
      <c r="AP137" s="164"/>
      <c r="AQ137" s="164"/>
      <c r="AR137" s="164"/>
      <c r="AS137" s="164"/>
      <c r="AT137" s="164"/>
      <c r="AU137" s="164"/>
      <c r="AV137" s="164"/>
      <c r="AW137" s="164"/>
      <c r="AX137" s="164"/>
      <c r="AY137" s="164"/>
      <c r="AZ137" s="164"/>
      <c r="BA137" s="164"/>
      <c r="BB137" s="164"/>
      <c r="BC137" s="164"/>
      <c r="BD137" s="164"/>
      <c r="BE137" s="164"/>
      <c r="BF137" s="164"/>
      <c r="BG137" s="164"/>
    </row>
    <row r="138" ht="15.75" customHeight="1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  <c r="AG138" s="164"/>
      <c r="AH138" s="164"/>
      <c r="AI138" s="164"/>
      <c r="AJ138" s="164"/>
      <c r="AK138" s="164"/>
      <c r="AL138" s="164"/>
      <c r="AM138" s="164"/>
      <c r="AN138" s="164"/>
      <c r="AO138" s="164"/>
      <c r="AP138" s="164"/>
      <c r="AQ138" s="164"/>
      <c r="AR138" s="164"/>
      <c r="AS138" s="164"/>
      <c r="AT138" s="164"/>
      <c r="AU138" s="164"/>
      <c r="AV138" s="164"/>
      <c r="AW138" s="164"/>
      <c r="AX138" s="164"/>
      <c r="AY138" s="164"/>
      <c r="AZ138" s="164"/>
      <c r="BA138" s="164"/>
      <c r="BB138" s="164"/>
      <c r="BC138" s="164"/>
      <c r="BD138" s="164"/>
      <c r="BE138" s="164"/>
      <c r="BF138" s="164"/>
      <c r="BG138" s="164"/>
    </row>
    <row r="139" ht="15.75" customHeight="1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  <c r="AG139" s="164"/>
      <c r="AH139" s="164"/>
      <c r="AI139" s="164"/>
      <c r="AJ139" s="164"/>
      <c r="AK139" s="164"/>
      <c r="AL139" s="164"/>
      <c r="AM139" s="164"/>
      <c r="AN139" s="164"/>
      <c r="AO139" s="164"/>
      <c r="AP139" s="164"/>
      <c r="AQ139" s="164"/>
      <c r="AR139" s="164"/>
      <c r="AS139" s="164"/>
      <c r="AT139" s="164"/>
      <c r="AU139" s="164"/>
      <c r="AV139" s="164"/>
      <c r="AW139" s="164"/>
      <c r="AX139" s="164"/>
      <c r="AY139" s="164"/>
      <c r="AZ139" s="164"/>
      <c r="BA139" s="164"/>
      <c r="BB139" s="164"/>
      <c r="BC139" s="164"/>
      <c r="BD139" s="164"/>
      <c r="BE139" s="164"/>
      <c r="BF139" s="164"/>
      <c r="BG139" s="164"/>
    </row>
    <row r="140" ht="15.75" customHeight="1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  <c r="AM140" s="164"/>
      <c r="AN140" s="164"/>
      <c r="AO140" s="164"/>
      <c r="AP140" s="164"/>
      <c r="AQ140" s="164"/>
      <c r="AR140" s="164"/>
      <c r="AS140" s="164"/>
      <c r="AT140" s="164"/>
      <c r="AU140" s="164"/>
      <c r="AV140" s="164"/>
      <c r="AW140" s="164"/>
      <c r="AX140" s="164"/>
      <c r="AY140" s="164"/>
      <c r="AZ140" s="164"/>
      <c r="BA140" s="164"/>
      <c r="BB140" s="164"/>
      <c r="BC140" s="164"/>
      <c r="BD140" s="164"/>
      <c r="BE140" s="164"/>
      <c r="BF140" s="164"/>
      <c r="BG140" s="164"/>
    </row>
    <row r="141" ht="15.75" customHeight="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  <c r="AE141" s="164"/>
      <c r="AF141" s="164"/>
      <c r="AG141" s="164"/>
      <c r="AH141" s="164"/>
      <c r="AI141" s="164"/>
      <c r="AJ141" s="164"/>
      <c r="AK141" s="164"/>
      <c r="AL141" s="164"/>
      <c r="AM141" s="164"/>
      <c r="AN141" s="164"/>
      <c r="AO141" s="164"/>
      <c r="AP141" s="164"/>
      <c r="AQ141" s="164"/>
      <c r="AR141" s="164"/>
      <c r="AS141" s="164"/>
      <c r="AT141" s="164"/>
      <c r="AU141" s="164"/>
      <c r="AV141" s="164"/>
      <c r="AW141" s="164"/>
      <c r="AX141" s="164"/>
      <c r="AY141" s="164"/>
      <c r="AZ141" s="164"/>
      <c r="BA141" s="164"/>
      <c r="BB141" s="164"/>
      <c r="BC141" s="164"/>
      <c r="BD141" s="164"/>
      <c r="BE141" s="164"/>
      <c r="BF141" s="164"/>
      <c r="BG141" s="164"/>
    </row>
    <row r="142" ht="15.75" customHeight="1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  <c r="AE142" s="164"/>
      <c r="AF142" s="164"/>
      <c r="AG142" s="164"/>
      <c r="AH142" s="164"/>
      <c r="AI142" s="164"/>
      <c r="AJ142" s="164"/>
      <c r="AK142" s="164"/>
      <c r="AL142" s="164"/>
      <c r="AM142" s="164"/>
      <c r="AN142" s="164"/>
      <c r="AO142" s="164"/>
      <c r="AP142" s="164"/>
      <c r="AQ142" s="164"/>
      <c r="AR142" s="164"/>
      <c r="AS142" s="164"/>
      <c r="AT142" s="164"/>
      <c r="AU142" s="164"/>
      <c r="AV142" s="164"/>
      <c r="AW142" s="164"/>
      <c r="AX142" s="164"/>
      <c r="AY142" s="164"/>
      <c r="AZ142" s="164"/>
      <c r="BA142" s="164"/>
      <c r="BB142" s="164"/>
      <c r="BC142" s="164"/>
      <c r="BD142" s="164"/>
      <c r="BE142" s="164"/>
      <c r="BF142" s="164"/>
      <c r="BG142" s="164"/>
    </row>
    <row r="143" ht="15.75" customHeight="1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  <c r="AE143" s="164"/>
      <c r="AF143" s="164"/>
      <c r="AG143" s="164"/>
      <c r="AH143" s="164"/>
      <c r="AI143" s="164"/>
      <c r="AJ143" s="164"/>
      <c r="AK143" s="164"/>
      <c r="AL143" s="164"/>
      <c r="AM143" s="164"/>
      <c r="AN143" s="164"/>
      <c r="AO143" s="164"/>
      <c r="AP143" s="164"/>
      <c r="AQ143" s="164"/>
      <c r="AR143" s="164"/>
      <c r="AS143" s="164"/>
      <c r="AT143" s="164"/>
      <c r="AU143" s="164"/>
      <c r="AV143" s="164"/>
      <c r="AW143" s="164"/>
      <c r="AX143" s="164"/>
      <c r="AY143" s="164"/>
      <c r="AZ143" s="164"/>
      <c r="BA143" s="164"/>
      <c r="BB143" s="164"/>
      <c r="BC143" s="164"/>
      <c r="BD143" s="164"/>
      <c r="BE143" s="164"/>
      <c r="BF143" s="164"/>
      <c r="BG143" s="164"/>
    </row>
    <row r="144" ht="15.75" customHeight="1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  <c r="AD144" s="164"/>
      <c r="AE144" s="164"/>
      <c r="AF144" s="164"/>
      <c r="AG144" s="164"/>
      <c r="AH144" s="164"/>
      <c r="AI144" s="164"/>
      <c r="AJ144" s="164"/>
      <c r="AK144" s="164"/>
      <c r="AL144" s="164"/>
      <c r="AM144" s="164"/>
      <c r="AN144" s="164"/>
      <c r="AO144" s="164"/>
      <c r="AP144" s="164"/>
      <c r="AQ144" s="164"/>
      <c r="AR144" s="164"/>
      <c r="AS144" s="164"/>
      <c r="AT144" s="164"/>
      <c r="AU144" s="164"/>
      <c r="AV144" s="164"/>
      <c r="AW144" s="164"/>
      <c r="AX144" s="164"/>
      <c r="AY144" s="164"/>
      <c r="AZ144" s="164"/>
      <c r="BA144" s="164"/>
      <c r="BB144" s="164"/>
      <c r="BC144" s="164"/>
      <c r="BD144" s="164"/>
      <c r="BE144" s="164"/>
      <c r="BF144" s="164"/>
      <c r="BG144" s="164"/>
    </row>
    <row r="145" ht="15.75" customHeight="1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  <c r="AH145" s="164"/>
      <c r="AI145" s="164"/>
      <c r="AJ145" s="164"/>
      <c r="AK145" s="164"/>
      <c r="AL145" s="164"/>
      <c r="AM145" s="164"/>
      <c r="AN145" s="164"/>
      <c r="AO145" s="164"/>
      <c r="AP145" s="164"/>
      <c r="AQ145" s="164"/>
      <c r="AR145" s="164"/>
      <c r="AS145" s="164"/>
      <c r="AT145" s="164"/>
      <c r="AU145" s="164"/>
      <c r="AV145" s="164"/>
      <c r="AW145" s="164"/>
      <c r="AX145" s="164"/>
      <c r="AY145" s="164"/>
      <c r="AZ145" s="164"/>
      <c r="BA145" s="164"/>
      <c r="BB145" s="164"/>
      <c r="BC145" s="164"/>
      <c r="BD145" s="164"/>
      <c r="BE145" s="164"/>
      <c r="BF145" s="164"/>
      <c r="BG145" s="164"/>
    </row>
    <row r="146" ht="15.75" customHeight="1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  <c r="AH146" s="164"/>
      <c r="AI146" s="164"/>
      <c r="AJ146" s="164"/>
      <c r="AK146" s="164"/>
      <c r="AL146" s="164"/>
      <c r="AM146" s="164"/>
      <c r="AN146" s="164"/>
      <c r="AO146" s="164"/>
      <c r="AP146" s="164"/>
      <c r="AQ146" s="164"/>
      <c r="AR146" s="164"/>
      <c r="AS146" s="164"/>
      <c r="AT146" s="164"/>
      <c r="AU146" s="164"/>
      <c r="AV146" s="164"/>
      <c r="AW146" s="164"/>
      <c r="AX146" s="164"/>
      <c r="AY146" s="164"/>
      <c r="AZ146" s="164"/>
      <c r="BA146" s="164"/>
      <c r="BB146" s="164"/>
      <c r="BC146" s="164"/>
      <c r="BD146" s="164"/>
      <c r="BE146" s="164"/>
      <c r="BF146" s="164"/>
      <c r="BG146" s="164"/>
    </row>
    <row r="147" ht="15.75" customHeight="1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  <c r="AD147" s="164"/>
      <c r="AE147" s="164"/>
      <c r="AF147" s="164"/>
      <c r="AG147" s="164"/>
      <c r="AH147" s="164"/>
      <c r="AI147" s="164"/>
      <c r="AJ147" s="164"/>
      <c r="AK147" s="164"/>
      <c r="AL147" s="164"/>
      <c r="AM147" s="164"/>
      <c r="AN147" s="164"/>
      <c r="AO147" s="164"/>
      <c r="AP147" s="164"/>
      <c r="AQ147" s="164"/>
      <c r="AR147" s="164"/>
      <c r="AS147" s="164"/>
      <c r="AT147" s="164"/>
      <c r="AU147" s="164"/>
      <c r="AV147" s="164"/>
      <c r="AW147" s="164"/>
      <c r="AX147" s="164"/>
      <c r="AY147" s="164"/>
      <c r="AZ147" s="164"/>
      <c r="BA147" s="164"/>
      <c r="BB147" s="164"/>
      <c r="BC147" s="164"/>
      <c r="BD147" s="164"/>
      <c r="BE147" s="164"/>
      <c r="BF147" s="164"/>
      <c r="BG147" s="164"/>
    </row>
    <row r="148" ht="15.75" customHeight="1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  <c r="AD148" s="164"/>
      <c r="AE148" s="164"/>
      <c r="AF148" s="164"/>
      <c r="AG148" s="164"/>
      <c r="AH148" s="164"/>
      <c r="AI148" s="164"/>
      <c r="AJ148" s="164"/>
      <c r="AK148" s="164"/>
      <c r="AL148" s="164"/>
      <c r="AM148" s="164"/>
      <c r="AN148" s="164"/>
      <c r="AO148" s="164"/>
      <c r="AP148" s="164"/>
      <c r="AQ148" s="164"/>
      <c r="AR148" s="164"/>
      <c r="AS148" s="164"/>
      <c r="AT148" s="164"/>
      <c r="AU148" s="164"/>
      <c r="AV148" s="164"/>
      <c r="AW148" s="164"/>
      <c r="AX148" s="164"/>
      <c r="AY148" s="164"/>
      <c r="AZ148" s="164"/>
      <c r="BA148" s="164"/>
      <c r="BB148" s="164"/>
      <c r="BC148" s="164"/>
      <c r="BD148" s="164"/>
      <c r="BE148" s="164"/>
      <c r="BF148" s="164"/>
      <c r="BG148" s="164"/>
    </row>
    <row r="149" ht="15.75" customHeight="1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  <c r="AD149" s="164"/>
      <c r="AE149" s="164"/>
      <c r="AF149" s="164"/>
      <c r="AG149" s="164"/>
      <c r="AH149" s="164"/>
      <c r="AI149" s="164"/>
      <c r="AJ149" s="164"/>
      <c r="AK149" s="164"/>
      <c r="AL149" s="164"/>
      <c r="AM149" s="164"/>
      <c r="AN149" s="164"/>
      <c r="AO149" s="164"/>
      <c r="AP149" s="164"/>
      <c r="AQ149" s="164"/>
      <c r="AR149" s="164"/>
      <c r="AS149" s="164"/>
      <c r="AT149" s="164"/>
      <c r="AU149" s="164"/>
      <c r="AV149" s="164"/>
      <c r="AW149" s="164"/>
      <c r="AX149" s="164"/>
      <c r="AY149" s="164"/>
      <c r="AZ149" s="164"/>
      <c r="BA149" s="164"/>
      <c r="BB149" s="164"/>
      <c r="BC149" s="164"/>
      <c r="BD149" s="164"/>
      <c r="BE149" s="164"/>
      <c r="BF149" s="164"/>
      <c r="BG149" s="164"/>
    </row>
    <row r="150" ht="15.75" customHeight="1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  <c r="AD150" s="164"/>
      <c r="AE150" s="164"/>
      <c r="AF150" s="164"/>
      <c r="AG150" s="164"/>
      <c r="AH150" s="164"/>
      <c r="AI150" s="164"/>
      <c r="AJ150" s="164"/>
      <c r="AK150" s="164"/>
      <c r="AL150" s="164"/>
      <c r="AM150" s="164"/>
      <c r="AN150" s="164"/>
      <c r="AO150" s="164"/>
      <c r="AP150" s="164"/>
      <c r="AQ150" s="164"/>
      <c r="AR150" s="164"/>
      <c r="AS150" s="164"/>
      <c r="AT150" s="164"/>
      <c r="AU150" s="164"/>
      <c r="AV150" s="164"/>
      <c r="AW150" s="164"/>
      <c r="AX150" s="164"/>
      <c r="AY150" s="164"/>
      <c r="AZ150" s="164"/>
      <c r="BA150" s="164"/>
      <c r="BB150" s="164"/>
      <c r="BC150" s="164"/>
      <c r="BD150" s="164"/>
      <c r="BE150" s="164"/>
      <c r="BF150" s="164"/>
      <c r="BG150" s="164"/>
    </row>
    <row r="151" ht="15.75" customHeight="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  <c r="AD151" s="164"/>
      <c r="AE151" s="164"/>
      <c r="AF151" s="164"/>
      <c r="AG151" s="164"/>
      <c r="AH151" s="164"/>
      <c r="AI151" s="164"/>
      <c r="AJ151" s="164"/>
      <c r="AK151" s="164"/>
      <c r="AL151" s="164"/>
      <c r="AM151" s="164"/>
      <c r="AN151" s="164"/>
      <c r="AO151" s="164"/>
      <c r="AP151" s="164"/>
      <c r="AQ151" s="164"/>
      <c r="AR151" s="164"/>
      <c r="AS151" s="164"/>
      <c r="AT151" s="164"/>
      <c r="AU151" s="164"/>
      <c r="AV151" s="164"/>
      <c r="AW151" s="164"/>
      <c r="AX151" s="164"/>
      <c r="AY151" s="164"/>
      <c r="AZ151" s="164"/>
      <c r="BA151" s="164"/>
      <c r="BB151" s="164"/>
      <c r="BC151" s="164"/>
      <c r="BD151" s="164"/>
      <c r="BE151" s="164"/>
      <c r="BF151" s="164"/>
      <c r="BG151" s="164"/>
    </row>
    <row r="152" ht="15.75" customHeight="1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4"/>
      <c r="AG152" s="164"/>
      <c r="AH152" s="164"/>
      <c r="AI152" s="164"/>
      <c r="AJ152" s="164"/>
      <c r="AK152" s="164"/>
      <c r="AL152" s="164"/>
      <c r="AM152" s="164"/>
      <c r="AN152" s="164"/>
      <c r="AO152" s="164"/>
      <c r="AP152" s="164"/>
      <c r="AQ152" s="164"/>
      <c r="AR152" s="164"/>
      <c r="AS152" s="164"/>
      <c r="AT152" s="164"/>
      <c r="AU152" s="164"/>
      <c r="AV152" s="164"/>
      <c r="AW152" s="164"/>
      <c r="AX152" s="164"/>
      <c r="AY152" s="164"/>
      <c r="AZ152" s="164"/>
      <c r="BA152" s="164"/>
      <c r="BB152" s="164"/>
      <c r="BC152" s="164"/>
      <c r="BD152" s="164"/>
      <c r="BE152" s="164"/>
      <c r="BF152" s="164"/>
      <c r="BG152" s="164"/>
    </row>
    <row r="153" ht="15.75" customHeight="1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  <c r="AD153" s="164"/>
      <c r="AE153" s="164"/>
      <c r="AF153" s="164"/>
      <c r="AG153" s="164"/>
      <c r="AH153" s="164"/>
      <c r="AI153" s="164"/>
      <c r="AJ153" s="164"/>
      <c r="AK153" s="164"/>
      <c r="AL153" s="164"/>
      <c r="AM153" s="164"/>
      <c r="AN153" s="164"/>
      <c r="AO153" s="164"/>
      <c r="AP153" s="164"/>
      <c r="AQ153" s="164"/>
      <c r="AR153" s="164"/>
      <c r="AS153" s="164"/>
      <c r="AT153" s="164"/>
      <c r="AU153" s="164"/>
      <c r="AV153" s="164"/>
      <c r="AW153" s="164"/>
      <c r="AX153" s="164"/>
      <c r="AY153" s="164"/>
      <c r="AZ153" s="164"/>
      <c r="BA153" s="164"/>
      <c r="BB153" s="164"/>
      <c r="BC153" s="164"/>
      <c r="BD153" s="164"/>
      <c r="BE153" s="164"/>
      <c r="BF153" s="164"/>
      <c r="BG153" s="164"/>
    </row>
    <row r="154" ht="15.75" customHeight="1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  <c r="AD154" s="164"/>
      <c r="AE154" s="164"/>
      <c r="AF154" s="164"/>
      <c r="AG154" s="164"/>
      <c r="AH154" s="164"/>
      <c r="AI154" s="164"/>
      <c r="AJ154" s="164"/>
      <c r="AK154" s="164"/>
      <c r="AL154" s="164"/>
      <c r="AM154" s="164"/>
      <c r="AN154" s="164"/>
      <c r="AO154" s="164"/>
      <c r="AP154" s="164"/>
      <c r="AQ154" s="164"/>
      <c r="AR154" s="164"/>
      <c r="AS154" s="164"/>
      <c r="AT154" s="164"/>
      <c r="AU154" s="164"/>
      <c r="AV154" s="164"/>
      <c r="AW154" s="164"/>
      <c r="AX154" s="164"/>
      <c r="AY154" s="164"/>
      <c r="AZ154" s="164"/>
      <c r="BA154" s="164"/>
      <c r="BB154" s="164"/>
      <c r="BC154" s="164"/>
      <c r="BD154" s="164"/>
      <c r="BE154" s="164"/>
      <c r="BF154" s="164"/>
      <c r="BG154" s="164"/>
    </row>
    <row r="155" ht="15.75" customHeight="1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  <c r="AD155" s="164"/>
      <c r="AE155" s="164"/>
      <c r="AF155" s="164"/>
      <c r="AG155" s="164"/>
      <c r="AH155" s="164"/>
      <c r="AI155" s="164"/>
      <c r="AJ155" s="164"/>
      <c r="AK155" s="164"/>
      <c r="AL155" s="164"/>
      <c r="AM155" s="164"/>
      <c r="AN155" s="164"/>
      <c r="AO155" s="164"/>
      <c r="AP155" s="164"/>
      <c r="AQ155" s="164"/>
      <c r="AR155" s="164"/>
      <c r="AS155" s="164"/>
      <c r="AT155" s="164"/>
      <c r="AU155" s="164"/>
      <c r="AV155" s="164"/>
      <c r="AW155" s="164"/>
      <c r="AX155" s="164"/>
      <c r="AY155" s="164"/>
      <c r="AZ155" s="164"/>
      <c r="BA155" s="164"/>
      <c r="BB155" s="164"/>
      <c r="BC155" s="164"/>
      <c r="BD155" s="164"/>
      <c r="BE155" s="164"/>
      <c r="BF155" s="164"/>
      <c r="BG155" s="164"/>
    </row>
    <row r="156" ht="15.75" customHeight="1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  <c r="AD156" s="164"/>
      <c r="AE156" s="164"/>
      <c r="AF156" s="164"/>
      <c r="AG156" s="164"/>
      <c r="AH156" s="164"/>
      <c r="AI156" s="164"/>
      <c r="AJ156" s="164"/>
      <c r="AK156" s="164"/>
      <c r="AL156" s="164"/>
      <c r="AM156" s="164"/>
      <c r="AN156" s="164"/>
      <c r="AO156" s="164"/>
      <c r="AP156" s="164"/>
      <c r="AQ156" s="164"/>
      <c r="AR156" s="164"/>
      <c r="AS156" s="164"/>
      <c r="AT156" s="164"/>
      <c r="AU156" s="164"/>
      <c r="AV156" s="164"/>
      <c r="AW156" s="164"/>
      <c r="AX156" s="164"/>
      <c r="AY156" s="164"/>
      <c r="AZ156" s="164"/>
      <c r="BA156" s="164"/>
      <c r="BB156" s="164"/>
      <c r="BC156" s="164"/>
      <c r="BD156" s="164"/>
      <c r="BE156" s="164"/>
      <c r="BF156" s="164"/>
      <c r="BG156" s="164"/>
    </row>
    <row r="157" ht="15.75" customHeight="1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  <c r="AD157" s="164"/>
      <c r="AE157" s="164"/>
      <c r="AF157" s="164"/>
      <c r="AG157" s="164"/>
      <c r="AH157" s="164"/>
      <c r="AI157" s="164"/>
      <c r="AJ157" s="164"/>
      <c r="AK157" s="164"/>
      <c r="AL157" s="164"/>
      <c r="AM157" s="164"/>
      <c r="AN157" s="164"/>
      <c r="AO157" s="164"/>
      <c r="AP157" s="164"/>
      <c r="AQ157" s="164"/>
      <c r="AR157" s="164"/>
      <c r="AS157" s="164"/>
      <c r="AT157" s="164"/>
      <c r="AU157" s="164"/>
      <c r="AV157" s="164"/>
      <c r="AW157" s="164"/>
      <c r="AX157" s="164"/>
      <c r="AY157" s="164"/>
      <c r="AZ157" s="164"/>
      <c r="BA157" s="164"/>
      <c r="BB157" s="164"/>
      <c r="BC157" s="164"/>
      <c r="BD157" s="164"/>
      <c r="BE157" s="164"/>
      <c r="BF157" s="164"/>
      <c r="BG157" s="164"/>
    </row>
    <row r="158" ht="15.75" customHeight="1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  <c r="AD158" s="164"/>
      <c r="AE158" s="164"/>
      <c r="AF158" s="164"/>
      <c r="AG158" s="164"/>
      <c r="AH158" s="164"/>
      <c r="AI158" s="164"/>
      <c r="AJ158" s="164"/>
      <c r="AK158" s="164"/>
      <c r="AL158" s="164"/>
      <c r="AM158" s="164"/>
      <c r="AN158" s="164"/>
      <c r="AO158" s="164"/>
      <c r="AP158" s="164"/>
      <c r="AQ158" s="164"/>
      <c r="AR158" s="164"/>
      <c r="AS158" s="164"/>
      <c r="AT158" s="164"/>
      <c r="AU158" s="164"/>
      <c r="AV158" s="164"/>
      <c r="AW158" s="164"/>
      <c r="AX158" s="164"/>
      <c r="AY158" s="164"/>
      <c r="AZ158" s="164"/>
      <c r="BA158" s="164"/>
      <c r="BB158" s="164"/>
      <c r="BC158" s="164"/>
      <c r="BD158" s="164"/>
      <c r="BE158" s="164"/>
      <c r="BF158" s="164"/>
      <c r="BG158" s="164"/>
    </row>
    <row r="159" ht="15.75" customHeight="1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  <c r="AD159" s="164"/>
      <c r="AE159" s="164"/>
      <c r="AF159" s="164"/>
      <c r="AG159" s="164"/>
      <c r="AH159" s="164"/>
      <c r="AI159" s="164"/>
      <c r="AJ159" s="164"/>
      <c r="AK159" s="164"/>
      <c r="AL159" s="164"/>
      <c r="AM159" s="164"/>
      <c r="AN159" s="164"/>
      <c r="AO159" s="164"/>
      <c r="AP159" s="164"/>
      <c r="AQ159" s="164"/>
      <c r="AR159" s="164"/>
      <c r="AS159" s="164"/>
      <c r="AT159" s="164"/>
      <c r="AU159" s="164"/>
      <c r="AV159" s="164"/>
      <c r="AW159" s="164"/>
      <c r="AX159" s="164"/>
      <c r="AY159" s="164"/>
      <c r="AZ159" s="164"/>
      <c r="BA159" s="164"/>
      <c r="BB159" s="164"/>
      <c r="BC159" s="164"/>
      <c r="BD159" s="164"/>
      <c r="BE159" s="164"/>
      <c r="BF159" s="164"/>
      <c r="BG159" s="164"/>
    </row>
    <row r="160" ht="15.75" customHeight="1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  <c r="AD160" s="164"/>
      <c r="AE160" s="164"/>
      <c r="AF160" s="164"/>
      <c r="AG160" s="164"/>
      <c r="AH160" s="164"/>
      <c r="AI160" s="164"/>
      <c r="AJ160" s="164"/>
      <c r="AK160" s="164"/>
      <c r="AL160" s="164"/>
      <c r="AM160" s="164"/>
      <c r="AN160" s="164"/>
      <c r="AO160" s="164"/>
      <c r="AP160" s="164"/>
      <c r="AQ160" s="164"/>
      <c r="AR160" s="164"/>
      <c r="AS160" s="164"/>
      <c r="AT160" s="164"/>
      <c r="AU160" s="164"/>
      <c r="AV160" s="164"/>
      <c r="AW160" s="164"/>
      <c r="AX160" s="164"/>
      <c r="AY160" s="164"/>
      <c r="AZ160" s="164"/>
      <c r="BA160" s="164"/>
      <c r="BB160" s="164"/>
      <c r="BC160" s="164"/>
      <c r="BD160" s="164"/>
      <c r="BE160" s="164"/>
      <c r="BF160" s="164"/>
      <c r="BG160" s="164"/>
    </row>
    <row r="161" ht="15.75" customHeight="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  <c r="AD161" s="164"/>
      <c r="AE161" s="164"/>
      <c r="AF161" s="164"/>
      <c r="AG161" s="164"/>
      <c r="AH161" s="164"/>
      <c r="AI161" s="164"/>
      <c r="AJ161" s="164"/>
      <c r="AK161" s="164"/>
      <c r="AL161" s="164"/>
      <c r="AM161" s="164"/>
      <c r="AN161" s="164"/>
      <c r="AO161" s="164"/>
      <c r="AP161" s="164"/>
      <c r="AQ161" s="164"/>
      <c r="AR161" s="164"/>
      <c r="AS161" s="164"/>
      <c r="AT161" s="164"/>
      <c r="AU161" s="164"/>
      <c r="AV161" s="164"/>
      <c r="AW161" s="164"/>
      <c r="AX161" s="164"/>
      <c r="AY161" s="164"/>
      <c r="AZ161" s="164"/>
      <c r="BA161" s="164"/>
      <c r="BB161" s="164"/>
      <c r="BC161" s="164"/>
      <c r="BD161" s="164"/>
      <c r="BE161" s="164"/>
      <c r="BF161" s="164"/>
      <c r="BG161" s="164"/>
    </row>
    <row r="162" ht="15.75" customHeight="1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  <c r="AD162" s="164"/>
      <c r="AE162" s="164"/>
      <c r="AF162" s="164"/>
      <c r="AG162" s="164"/>
      <c r="AH162" s="164"/>
      <c r="AI162" s="164"/>
      <c r="AJ162" s="164"/>
      <c r="AK162" s="164"/>
      <c r="AL162" s="164"/>
      <c r="AM162" s="164"/>
      <c r="AN162" s="164"/>
      <c r="AO162" s="164"/>
      <c r="AP162" s="164"/>
      <c r="AQ162" s="164"/>
      <c r="AR162" s="164"/>
      <c r="AS162" s="164"/>
      <c r="AT162" s="164"/>
      <c r="AU162" s="164"/>
      <c r="AV162" s="164"/>
      <c r="AW162" s="164"/>
      <c r="AX162" s="164"/>
      <c r="AY162" s="164"/>
      <c r="AZ162" s="164"/>
      <c r="BA162" s="164"/>
      <c r="BB162" s="164"/>
      <c r="BC162" s="164"/>
      <c r="BD162" s="164"/>
      <c r="BE162" s="164"/>
      <c r="BF162" s="164"/>
      <c r="BG162" s="164"/>
    </row>
    <row r="163" ht="15.75" customHeight="1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  <c r="AE163" s="164"/>
      <c r="AF163" s="164"/>
      <c r="AG163" s="164"/>
      <c r="AH163" s="164"/>
      <c r="AI163" s="164"/>
      <c r="AJ163" s="164"/>
      <c r="AK163" s="164"/>
      <c r="AL163" s="164"/>
      <c r="AM163" s="164"/>
      <c r="AN163" s="164"/>
      <c r="AO163" s="164"/>
      <c r="AP163" s="164"/>
      <c r="AQ163" s="164"/>
      <c r="AR163" s="164"/>
      <c r="AS163" s="164"/>
      <c r="AT163" s="164"/>
      <c r="AU163" s="164"/>
      <c r="AV163" s="164"/>
      <c r="AW163" s="164"/>
      <c r="AX163" s="164"/>
      <c r="AY163" s="164"/>
      <c r="AZ163" s="164"/>
      <c r="BA163" s="164"/>
      <c r="BB163" s="164"/>
      <c r="BC163" s="164"/>
      <c r="BD163" s="164"/>
      <c r="BE163" s="164"/>
      <c r="BF163" s="164"/>
      <c r="BG163" s="164"/>
    </row>
    <row r="164" ht="15.75" customHeight="1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  <c r="AE164" s="164"/>
      <c r="AF164" s="164"/>
      <c r="AG164" s="164"/>
      <c r="AH164" s="164"/>
      <c r="AI164" s="164"/>
      <c r="AJ164" s="164"/>
      <c r="AK164" s="164"/>
      <c r="AL164" s="164"/>
      <c r="AM164" s="164"/>
      <c r="AN164" s="164"/>
      <c r="AO164" s="164"/>
      <c r="AP164" s="164"/>
      <c r="AQ164" s="164"/>
      <c r="AR164" s="164"/>
      <c r="AS164" s="164"/>
      <c r="AT164" s="164"/>
      <c r="AU164" s="164"/>
      <c r="AV164" s="164"/>
      <c r="AW164" s="164"/>
      <c r="AX164" s="164"/>
      <c r="AY164" s="164"/>
      <c r="AZ164" s="164"/>
      <c r="BA164" s="164"/>
      <c r="BB164" s="164"/>
      <c r="BC164" s="164"/>
      <c r="BD164" s="164"/>
      <c r="BE164" s="164"/>
      <c r="BF164" s="164"/>
      <c r="BG164" s="164"/>
    </row>
    <row r="165" ht="15.75" customHeight="1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  <c r="AD165" s="164"/>
      <c r="AE165" s="164"/>
      <c r="AF165" s="164"/>
      <c r="AG165" s="164"/>
      <c r="AH165" s="164"/>
      <c r="AI165" s="164"/>
      <c r="AJ165" s="164"/>
      <c r="AK165" s="164"/>
      <c r="AL165" s="164"/>
      <c r="AM165" s="164"/>
      <c r="AN165" s="164"/>
      <c r="AO165" s="164"/>
      <c r="AP165" s="164"/>
      <c r="AQ165" s="164"/>
      <c r="AR165" s="164"/>
      <c r="AS165" s="164"/>
      <c r="AT165" s="164"/>
      <c r="AU165" s="164"/>
      <c r="AV165" s="164"/>
      <c r="AW165" s="164"/>
      <c r="AX165" s="164"/>
      <c r="AY165" s="164"/>
      <c r="AZ165" s="164"/>
      <c r="BA165" s="164"/>
      <c r="BB165" s="164"/>
      <c r="BC165" s="164"/>
      <c r="BD165" s="164"/>
      <c r="BE165" s="164"/>
      <c r="BF165" s="164"/>
      <c r="BG165" s="164"/>
    </row>
    <row r="166" ht="15.75" customHeight="1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  <c r="AD166" s="164"/>
      <c r="AE166" s="164"/>
      <c r="AF166" s="164"/>
      <c r="AG166" s="164"/>
      <c r="AH166" s="164"/>
      <c r="AI166" s="164"/>
      <c r="AJ166" s="164"/>
      <c r="AK166" s="164"/>
      <c r="AL166" s="164"/>
      <c r="AM166" s="164"/>
      <c r="AN166" s="164"/>
      <c r="AO166" s="164"/>
      <c r="AP166" s="164"/>
      <c r="AQ166" s="164"/>
      <c r="AR166" s="164"/>
      <c r="AS166" s="164"/>
      <c r="AT166" s="164"/>
      <c r="AU166" s="164"/>
      <c r="AV166" s="164"/>
      <c r="AW166" s="164"/>
      <c r="AX166" s="164"/>
      <c r="AY166" s="164"/>
      <c r="AZ166" s="164"/>
      <c r="BA166" s="164"/>
      <c r="BB166" s="164"/>
      <c r="BC166" s="164"/>
      <c r="BD166" s="164"/>
      <c r="BE166" s="164"/>
      <c r="BF166" s="164"/>
      <c r="BG166" s="164"/>
    </row>
    <row r="167" ht="15.75" customHeight="1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64"/>
      <c r="AJ167" s="164"/>
      <c r="AK167" s="164"/>
      <c r="AL167" s="164"/>
      <c r="AM167" s="164"/>
      <c r="AN167" s="164"/>
      <c r="AO167" s="164"/>
      <c r="AP167" s="164"/>
      <c r="AQ167" s="164"/>
      <c r="AR167" s="164"/>
      <c r="AS167" s="164"/>
      <c r="AT167" s="164"/>
      <c r="AU167" s="164"/>
      <c r="AV167" s="164"/>
      <c r="AW167" s="164"/>
      <c r="AX167" s="164"/>
      <c r="AY167" s="164"/>
      <c r="AZ167" s="164"/>
      <c r="BA167" s="164"/>
      <c r="BB167" s="164"/>
      <c r="BC167" s="164"/>
      <c r="BD167" s="164"/>
      <c r="BE167" s="164"/>
      <c r="BF167" s="164"/>
      <c r="BG167" s="164"/>
    </row>
    <row r="168" ht="15.75" customHeight="1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  <c r="AG168" s="164"/>
      <c r="AH168" s="164"/>
      <c r="AI168" s="164"/>
      <c r="AJ168" s="164"/>
      <c r="AK168" s="164"/>
      <c r="AL168" s="164"/>
      <c r="AM168" s="164"/>
      <c r="AN168" s="164"/>
      <c r="AO168" s="164"/>
      <c r="AP168" s="164"/>
      <c r="AQ168" s="164"/>
      <c r="AR168" s="164"/>
      <c r="AS168" s="164"/>
      <c r="AT168" s="164"/>
      <c r="AU168" s="164"/>
      <c r="AV168" s="164"/>
      <c r="AW168" s="164"/>
      <c r="AX168" s="164"/>
      <c r="AY168" s="164"/>
      <c r="AZ168" s="164"/>
      <c r="BA168" s="164"/>
      <c r="BB168" s="164"/>
      <c r="BC168" s="164"/>
      <c r="BD168" s="164"/>
      <c r="BE168" s="164"/>
      <c r="BF168" s="164"/>
      <c r="BG168" s="164"/>
    </row>
    <row r="169" ht="15.75" customHeight="1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  <c r="AD169" s="164"/>
      <c r="AE169" s="164"/>
      <c r="AF169" s="164"/>
      <c r="AG169" s="164"/>
      <c r="AH169" s="164"/>
      <c r="AI169" s="164"/>
      <c r="AJ169" s="164"/>
      <c r="AK169" s="164"/>
      <c r="AL169" s="164"/>
      <c r="AM169" s="164"/>
      <c r="AN169" s="164"/>
      <c r="AO169" s="164"/>
      <c r="AP169" s="164"/>
      <c r="AQ169" s="164"/>
      <c r="AR169" s="164"/>
      <c r="AS169" s="164"/>
      <c r="AT169" s="164"/>
      <c r="AU169" s="164"/>
      <c r="AV169" s="164"/>
      <c r="AW169" s="164"/>
      <c r="AX169" s="164"/>
      <c r="AY169" s="164"/>
      <c r="AZ169" s="164"/>
      <c r="BA169" s="164"/>
      <c r="BB169" s="164"/>
      <c r="BC169" s="164"/>
      <c r="BD169" s="164"/>
      <c r="BE169" s="164"/>
      <c r="BF169" s="164"/>
      <c r="BG169" s="164"/>
    </row>
    <row r="170" ht="15.75" customHeight="1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  <c r="AC170" s="164"/>
      <c r="AD170" s="164"/>
      <c r="AE170" s="164"/>
      <c r="AF170" s="164"/>
      <c r="AG170" s="164"/>
      <c r="AH170" s="164"/>
      <c r="AI170" s="164"/>
      <c r="AJ170" s="164"/>
      <c r="AK170" s="164"/>
      <c r="AL170" s="164"/>
      <c r="AM170" s="164"/>
      <c r="AN170" s="164"/>
      <c r="AO170" s="164"/>
      <c r="AP170" s="164"/>
      <c r="AQ170" s="164"/>
      <c r="AR170" s="164"/>
      <c r="AS170" s="164"/>
      <c r="AT170" s="164"/>
      <c r="AU170" s="164"/>
      <c r="AV170" s="164"/>
      <c r="AW170" s="164"/>
      <c r="AX170" s="164"/>
      <c r="AY170" s="164"/>
      <c r="AZ170" s="164"/>
      <c r="BA170" s="164"/>
      <c r="BB170" s="164"/>
      <c r="BC170" s="164"/>
      <c r="BD170" s="164"/>
      <c r="BE170" s="164"/>
      <c r="BF170" s="164"/>
      <c r="BG170" s="164"/>
    </row>
    <row r="171" ht="15.75" customHeight="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  <c r="AK171" s="164"/>
      <c r="AL171" s="164"/>
      <c r="AM171" s="164"/>
      <c r="AN171" s="164"/>
      <c r="AO171" s="164"/>
      <c r="AP171" s="164"/>
      <c r="AQ171" s="164"/>
      <c r="AR171" s="164"/>
      <c r="AS171" s="164"/>
      <c r="AT171" s="164"/>
      <c r="AU171" s="164"/>
      <c r="AV171" s="164"/>
      <c r="AW171" s="164"/>
      <c r="AX171" s="164"/>
      <c r="AY171" s="164"/>
      <c r="AZ171" s="164"/>
      <c r="BA171" s="164"/>
      <c r="BB171" s="164"/>
      <c r="BC171" s="164"/>
      <c r="BD171" s="164"/>
      <c r="BE171" s="164"/>
      <c r="BF171" s="164"/>
      <c r="BG171" s="164"/>
    </row>
    <row r="172" ht="15.75" customHeight="1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  <c r="AD172" s="164"/>
      <c r="AE172" s="164"/>
      <c r="AF172" s="164"/>
      <c r="AG172" s="164"/>
      <c r="AH172" s="164"/>
      <c r="AI172" s="164"/>
      <c r="AJ172" s="164"/>
      <c r="AK172" s="164"/>
      <c r="AL172" s="164"/>
      <c r="AM172" s="164"/>
      <c r="AN172" s="164"/>
      <c r="AO172" s="164"/>
      <c r="AP172" s="164"/>
      <c r="AQ172" s="164"/>
      <c r="AR172" s="164"/>
      <c r="AS172" s="164"/>
      <c r="AT172" s="164"/>
      <c r="AU172" s="164"/>
      <c r="AV172" s="164"/>
      <c r="AW172" s="164"/>
      <c r="AX172" s="164"/>
      <c r="AY172" s="164"/>
      <c r="AZ172" s="164"/>
      <c r="BA172" s="164"/>
      <c r="BB172" s="164"/>
      <c r="BC172" s="164"/>
      <c r="BD172" s="164"/>
      <c r="BE172" s="164"/>
      <c r="BF172" s="164"/>
      <c r="BG172" s="164"/>
    </row>
    <row r="173" ht="15.75" customHeight="1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  <c r="AD173" s="164"/>
      <c r="AE173" s="164"/>
      <c r="AF173" s="164"/>
      <c r="AG173" s="164"/>
      <c r="AH173" s="164"/>
      <c r="AI173" s="164"/>
      <c r="AJ173" s="164"/>
      <c r="AK173" s="164"/>
      <c r="AL173" s="164"/>
      <c r="AM173" s="164"/>
      <c r="AN173" s="164"/>
      <c r="AO173" s="164"/>
      <c r="AP173" s="164"/>
      <c r="AQ173" s="164"/>
      <c r="AR173" s="164"/>
      <c r="AS173" s="164"/>
      <c r="AT173" s="164"/>
      <c r="AU173" s="164"/>
      <c r="AV173" s="164"/>
      <c r="AW173" s="164"/>
      <c r="AX173" s="164"/>
      <c r="AY173" s="164"/>
      <c r="AZ173" s="164"/>
      <c r="BA173" s="164"/>
      <c r="BB173" s="164"/>
      <c r="BC173" s="164"/>
      <c r="BD173" s="164"/>
      <c r="BE173" s="164"/>
      <c r="BF173" s="164"/>
      <c r="BG173" s="164"/>
    </row>
    <row r="174" ht="15.75" customHeight="1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  <c r="AD174" s="164"/>
      <c r="AE174" s="164"/>
      <c r="AF174" s="164"/>
      <c r="AG174" s="164"/>
      <c r="AH174" s="164"/>
      <c r="AI174" s="164"/>
      <c r="AJ174" s="164"/>
      <c r="AK174" s="164"/>
      <c r="AL174" s="164"/>
      <c r="AM174" s="164"/>
      <c r="AN174" s="164"/>
      <c r="AO174" s="164"/>
      <c r="AP174" s="164"/>
      <c r="AQ174" s="164"/>
      <c r="AR174" s="164"/>
      <c r="AS174" s="164"/>
      <c r="AT174" s="164"/>
      <c r="AU174" s="164"/>
      <c r="AV174" s="164"/>
      <c r="AW174" s="164"/>
      <c r="AX174" s="164"/>
      <c r="AY174" s="164"/>
      <c r="AZ174" s="164"/>
      <c r="BA174" s="164"/>
      <c r="BB174" s="164"/>
      <c r="BC174" s="164"/>
      <c r="BD174" s="164"/>
      <c r="BE174" s="164"/>
      <c r="BF174" s="164"/>
      <c r="BG174" s="164"/>
    </row>
    <row r="175" ht="15.75" customHeight="1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  <c r="AD175" s="164"/>
      <c r="AE175" s="164"/>
      <c r="AF175" s="164"/>
      <c r="AG175" s="164"/>
      <c r="AH175" s="164"/>
      <c r="AI175" s="164"/>
      <c r="AJ175" s="164"/>
      <c r="AK175" s="164"/>
      <c r="AL175" s="164"/>
      <c r="AM175" s="164"/>
      <c r="AN175" s="164"/>
      <c r="AO175" s="164"/>
      <c r="AP175" s="164"/>
      <c r="AQ175" s="164"/>
      <c r="AR175" s="164"/>
      <c r="AS175" s="164"/>
      <c r="AT175" s="164"/>
      <c r="AU175" s="164"/>
      <c r="AV175" s="164"/>
      <c r="AW175" s="164"/>
      <c r="AX175" s="164"/>
      <c r="AY175" s="164"/>
      <c r="AZ175" s="164"/>
      <c r="BA175" s="164"/>
      <c r="BB175" s="164"/>
      <c r="BC175" s="164"/>
      <c r="BD175" s="164"/>
      <c r="BE175" s="164"/>
      <c r="BF175" s="164"/>
      <c r="BG175" s="164"/>
    </row>
    <row r="176" ht="15.75" customHeight="1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  <c r="AE176" s="164"/>
      <c r="AF176" s="164"/>
      <c r="AG176" s="164"/>
      <c r="AH176" s="164"/>
      <c r="AI176" s="164"/>
      <c r="AJ176" s="164"/>
      <c r="AK176" s="164"/>
      <c r="AL176" s="164"/>
      <c r="AM176" s="164"/>
      <c r="AN176" s="164"/>
      <c r="AO176" s="164"/>
      <c r="AP176" s="164"/>
      <c r="AQ176" s="164"/>
      <c r="AR176" s="164"/>
      <c r="AS176" s="164"/>
      <c r="AT176" s="164"/>
      <c r="AU176" s="164"/>
      <c r="AV176" s="164"/>
      <c r="AW176" s="164"/>
      <c r="AX176" s="164"/>
      <c r="AY176" s="164"/>
      <c r="AZ176" s="164"/>
      <c r="BA176" s="164"/>
      <c r="BB176" s="164"/>
      <c r="BC176" s="164"/>
      <c r="BD176" s="164"/>
      <c r="BE176" s="164"/>
      <c r="BF176" s="164"/>
      <c r="BG176" s="164"/>
    </row>
    <row r="177" ht="15.75" customHeight="1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  <c r="AD177" s="164"/>
      <c r="AE177" s="164"/>
      <c r="AF177" s="164"/>
      <c r="AG177" s="164"/>
      <c r="AH177" s="164"/>
      <c r="AI177" s="164"/>
      <c r="AJ177" s="164"/>
      <c r="AK177" s="164"/>
      <c r="AL177" s="164"/>
      <c r="AM177" s="164"/>
      <c r="AN177" s="164"/>
      <c r="AO177" s="164"/>
      <c r="AP177" s="164"/>
      <c r="AQ177" s="164"/>
      <c r="AR177" s="164"/>
      <c r="AS177" s="164"/>
      <c r="AT177" s="164"/>
      <c r="AU177" s="164"/>
      <c r="AV177" s="164"/>
      <c r="AW177" s="164"/>
      <c r="AX177" s="164"/>
      <c r="AY177" s="164"/>
      <c r="AZ177" s="164"/>
      <c r="BA177" s="164"/>
      <c r="BB177" s="164"/>
      <c r="BC177" s="164"/>
      <c r="BD177" s="164"/>
      <c r="BE177" s="164"/>
      <c r="BF177" s="164"/>
      <c r="BG177" s="164"/>
    </row>
    <row r="178" ht="15.75" customHeight="1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  <c r="AD178" s="164"/>
      <c r="AE178" s="164"/>
      <c r="AF178" s="164"/>
      <c r="AG178" s="164"/>
      <c r="AH178" s="164"/>
      <c r="AI178" s="164"/>
      <c r="AJ178" s="164"/>
      <c r="AK178" s="164"/>
      <c r="AL178" s="164"/>
      <c r="AM178" s="164"/>
      <c r="AN178" s="164"/>
      <c r="AO178" s="164"/>
      <c r="AP178" s="164"/>
      <c r="AQ178" s="164"/>
      <c r="AR178" s="164"/>
      <c r="AS178" s="164"/>
      <c r="AT178" s="164"/>
      <c r="AU178" s="164"/>
      <c r="AV178" s="164"/>
      <c r="AW178" s="164"/>
      <c r="AX178" s="164"/>
      <c r="AY178" s="164"/>
      <c r="AZ178" s="164"/>
      <c r="BA178" s="164"/>
      <c r="BB178" s="164"/>
      <c r="BC178" s="164"/>
      <c r="BD178" s="164"/>
      <c r="BE178" s="164"/>
      <c r="BF178" s="164"/>
      <c r="BG178" s="164"/>
    </row>
    <row r="179" ht="15.75" customHeight="1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  <c r="AD179" s="164"/>
      <c r="AE179" s="164"/>
      <c r="AF179" s="164"/>
      <c r="AG179" s="164"/>
      <c r="AH179" s="164"/>
      <c r="AI179" s="164"/>
      <c r="AJ179" s="164"/>
      <c r="AK179" s="164"/>
      <c r="AL179" s="164"/>
      <c r="AM179" s="164"/>
      <c r="AN179" s="164"/>
      <c r="AO179" s="164"/>
      <c r="AP179" s="164"/>
      <c r="AQ179" s="164"/>
      <c r="AR179" s="164"/>
      <c r="AS179" s="164"/>
      <c r="AT179" s="164"/>
      <c r="AU179" s="164"/>
      <c r="AV179" s="164"/>
      <c r="AW179" s="164"/>
      <c r="AX179" s="164"/>
      <c r="AY179" s="164"/>
      <c r="AZ179" s="164"/>
      <c r="BA179" s="164"/>
      <c r="BB179" s="164"/>
      <c r="BC179" s="164"/>
      <c r="BD179" s="164"/>
      <c r="BE179" s="164"/>
      <c r="BF179" s="164"/>
      <c r="BG179" s="164"/>
    </row>
    <row r="180" ht="15.75" customHeight="1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  <c r="AD180" s="164"/>
      <c r="AE180" s="164"/>
      <c r="AF180" s="164"/>
      <c r="AG180" s="164"/>
      <c r="AH180" s="164"/>
      <c r="AI180" s="164"/>
      <c r="AJ180" s="164"/>
      <c r="AK180" s="164"/>
      <c r="AL180" s="164"/>
      <c r="AM180" s="164"/>
      <c r="AN180" s="164"/>
      <c r="AO180" s="164"/>
      <c r="AP180" s="164"/>
      <c r="AQ180" s="164"/>
      <c r="AR180" s="164"/>
      <c r="AS180" s="164"/>
      <c r="AT180" s="164"/>
      <c r="AU180" s="164"/>
      <c r="AV180" s="164"/>
      <c r="AW180" s="164"/>
      <c r="AX180" s="164"/>
      <c r="AY180" s="164"/>
      <c r="AZ180" s="164"/>
      <c r="BA180" s="164"/>
      <c r="BB180" s="164"/>
      <c r="BC180" s="164"/>
      <c r="BD180" s="164"/>
      <c r="BE180" s="164"/>
      <c r="BF180" s="164"/>
      <c r="BG180" s="164"/>
    </row>
    <row r="181" ht="15.75" customHeight="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  <c r="AD181" s="164"/>
      <c r="AE181" s="164"/>
      <c r="AF181" s="164"/>
      <c r="AG181" s="164"/>
      <c r="AH181" s="164"/>
      <c r="AI181" s="164"/>
      <c r="AJ181" s="164"/>
      <c r="AK181" s="164"/>
      <c r="AL181" s="164"/>
      <c r="AM181" s="164"/>
      <c r="AN181" s="164"/>
      <c r="AO181" s="164"/>
      <c r="AP181" s="164"/>
      <c r="AQ181" s="164"/>
      <c r="AR181" s="164"/>
      <c r="AS181" s="164"/>
      <c r="AT181" s="164"/>
      <c r="AU181" s="164"/>
      <c r="AV181" s="164"/>
      <c r="AW181" s="164"/>
      <c r="AX181" s="164"/>
      <c r="AY181" s="164"/>
      <c r="AZ181" s="164"/>
      <c r="BA181" s="164"/>
      <c r="BB181" s="164"/>
      <c r="BC181" s="164"/>
      <c r="BD181" s="164"/>
      <c r="BE181" s="164"/>
      <c r="BF181" s="164"/>
      <c r="BG181" s="164"/>
    </row>
    <row r="182" ht="15.75" customHeight="1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  <c r="AD182" s="164"/>
      <c r="AE182" s="164"/>
      <c r="AF182" s="164"/>
      <c r="AG182" s="164"/>
      <c r="AH182" s="164"/>
      <c r="AI182" s="164"/>
      <c r="AJ182" s="164"/>
      <c r="AK182" s="164"/>
      <c r="AL182" s="164"/>
      <c r="AM182" s="164"/>
      <c r="AN182" s="164"/>
      <c r="AO182" s="164"/>
      <c r="AP182" s="164"/>
      <c r="AQ182" s="164"/>
      <c r="AR182" s="164"/>
      <c r="AS182" s="164"/>
      <c r="AT182" s="164"/>
      <c r="AU182" s="164"/>
      <c r="AV182" s="164"/>
      <c r="AW182" s="164"/>
      <c r="AX182" s="164"/>
      <c r="AY182" s="164"/>
      <c r="AZ182" s="164"/>
      <c r="BA182" s="164"/>
      <c r="BB182" s="164"/>
      <c r="BC182" s="164"/>
      <c r="BD182" s="164"/>
      <c r="BE182" s="164"/>
      <c r="BF182" s="164"/>
      <c r="BG182" s="164"/>
    </row>
    <row r="183" ht="15.75" customHeight="1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  <c r="AD183" s="164"/>
      <c r="AE183" s="164"/>
      <c r="AF183" s="164"/>
      <c r="AG183" s="164"/>
      <c r="AH183" s="164"/>
      <c r="AI183" s="164"/>
      <c r="AJ183" s="164"/>
      <c r="AK183" s="164"/>
      <c r="AL183" s="164"/>
      <c r="AM183" s="164"/>
      <c r="AN183" s="164"/>
      <c r="AO183" s="164"/>
      <c r="AP183" s="164"/>
      <c r="AQ183" s="164"/>
      <c r="AR183" s="164"/>
      <c r="AS183" s="164"/>
      <c r="AT183" s="164"/>
      <c r="AU183" s="164"/>
      <c r="AV183" s="164"/>
      <c r="AW183" s="164"/>
      <c r="AX183" s="164"/>
      <c r="AY183" s="164"/>
      <c r="AZ183" s="164"/>
      <c r="BA183" s="164"/>
      <c r="BB183" s="164"/>
      <c r="BC183" s="164"/>
      <c r="BD183" s="164"/>
      <c r="BE183" s="164"/>
      <c r="BF183" s="164"/>
      <c r="BG183" s="164"/>
    </row>
    <row r="184" ht="15.75" customHeight="1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  <c r="AD184" s="164"/>
      <c r="AE184" s="164"/>
      <c r="AF184" s="164"/>
      <c r="AG184" s="164"/>
      <c r="AH184" s="164"/>
      <c r="AI184" s="164"/>
      <c r="AJ184" s="164"/>
      <c r="AK184" s="164"/>
      <c r="AL184" s="164"/>
      <c r="AM184" s="164"/>
      <c r="AN184" s="164"/>
      <c r="AO184" s="164"/>
      <c r="AP184" s="164"/>
      <c r="AQ184" s="164"/>
      <c r="AR184" s="164"/>
      <c r="AS184" s="164"/>
      <c r="AT184" s="164"/>
      <c r="AU184" s="164"/>
      <c r="AV184" s="164"/>
      <c r="AW184" s="164"/>
      <c r="AX184" s="164"/>
      <c r="AY184" s="164"/>
      <c r="AZ184" s="164"/>
      <c r="BA184" s="164"/>
      <c r="BB184" s="164"/>
      <c r="BC184" s="164"/>
      <c r="BD184" s="164"/>
      <c r="BE184" s="164"/>
      <c r="BF184" s="164"/>
      <c r="BG184" s="164"/>
    </row>
    <row r="185" ht="15.75" customHeight="1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  <c r="AG185" s="164"/>
      <c r="AH185" s="164"/>
      <c r="AI185" s="164"/>
      <c r="AJ185" s="164"/>
      <c r="AK185" s="164"/>
      <c r="AL185" s="164"/>
      <c r="AM185" s="164"/>
      <c r="AN185" s="164"/>
      <c r="AO185" s="164"/>
      <c r="AP185" s="164"/>
      <c r="AQ185" s="164"/>
      <c r="AR185" s="164"/>
      <c r="AS185" s="164"/>
      <c r="AT185" s="164"/>
      <c r="AU185" s="164"/>
      <c r="AV185" s="164"/>
      <c r="AW185" s="164"/>
      <c r="AX185" s="164"/>
      <c r="AY185" s="164"/>
      <c r="AZ185" s="164"/>
      <c r="BA185" s="164"/>
      <c r="BB185" s="164"/>
      <c r="BC185" s="164"/>
      <c r="BD185" s="164"/>
      <c r="BE185" s="164"/>
      <c r="BF185" s="164"/>
      <c r="BG185" s="164"/>
    </row>
    <row r="186" ht="15.75" customHeight="1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  <c r="AE186" s="164"/>
      <c r="AF186" s="164"/>
      <c r="AG186" s="164"/>
      <c r="AH186" s="164"/>
      <c r="AI186" s="164"/>
      <c r="AJ186" s="164"/>
      <c r="AK186" s="164"/>
      <c r="AL186" s="164"/>
      <c r="AM186" s="164"/>
      <c r="AN186" s="164"/>
      <c r="AO186" s="164"/>
      <c r="AP186" s="164"/>
      <c r="AQ186" s="164"/>
      <c r="AR186" s="164"/>
      <c r="AS186" s="164"/>
      <c r="AT186" s="164"/>
      <c r="AU186" s="164"/>
      <c r="AV186" s="164"/>
      <c r="AW186" s="164"/>
      <c r="AX186" s="164"/>
      <c r="AY186" s="164"/>
      <c r="AZ186" s="164"/>
      <c r="BA186" s="164"/>
      <c r="BB186" s="164"/>
      <c r="BC186" s="164"/>
      <c r="BD186" s="164"/>
      <c r="BE186" s="164"/>
      <c r="BF186" s="164"/>
      <c r="BG186" s="164"/>
    </row>
    <row r="187" ht="15.75" customHeight="1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  <c r="AD187" s="164"/>
      <c r="AE187" s="164"/>
      <c r="AF187" s="164"/>
      <c r="AG187" s="164"/>
      <c r="AH187" s="164"/>
      <c r="AI187" s="164"/>
      <c r="AJ187" s="164"/>
      <c r="AK187" s="164"/>
      <c r="AL187" s="164"/>
      <c r="AM187" s="164"/>
      <c r="AN187" s="164"/>
      <c r="AO187" s="164"/>
      <c r="AP187" s="164"/>
      <c r="AQ187" s="164"/>
      <c r="AR187" s="164"/>
      <c r="AS187" s="164"/>
      <c r="AT187" s="164"/>
      <c r="AU187" s="164"/>
      <c r="AV187" s="164"/>
      <c r="AW187" s="164"/>
      <c r="AX187" s="164"/>
      <c r="AY187" s="164"/>
      <c r="AZ187" s="164"/>
      <c r="BA187" s="164"/>
      <c r="BB187" s="164"/>
      <c r="BC187" s="164"/>
      <c r="BD187" s="164"/>
      <c r="BE187" s="164"/>
      <c r="BF187" s="164"/>
      <c r="BG187" s="164"/>
    </row>
    <row r="188" ht="15.75" customHeight="1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  <c r="AD188" s="164"/>
      <c r="AE188" s="164"/>
      <c r="AF188" s="164"/>
      <c r="AG188" s="164"/>
      <c r="AH188" s="164"/>
      <c r="AI188" s="164"/>
      <c r="AJ188" s="164"/>
      <c r="AK188" s="164"/>
      <c r="AL188" s="164"/>
      <c r="AM188" s="164"/>
      <c r="AN188" s="164"/>
      <c r="AO188" s="164"/>
      <c r="AP188" s="164"/>
      <c r="AQ188" s="164"/>
      <c r="AR188" s="164"/>
      <c r="AS188" s="164"/>
      <c r="AT188" s="164"/>
      <c r="AU188" s="164"/>
      <c r="AV188" s="164"/>
      <c r="AW188" s="164"/>
      <c r="AX188" s="164"/>
      <c r="AY188" s="164"/>
      <c r="AZ188" s="164"/>
      <c r="BA188" s="164"/>
      <c r="BB188" s="164"/>
      <c r="BC188" s="164"/>
      <c r="BD188" s="164"/>
      <c r="BE188" s="164"/>
      <c r="BF188" s="164"/>
      <c r="BG188" s="164"/>
    </row>
    <row r="189" ht="15.75" customHeight="1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  <c r="AD189" s="164"/>
      <c r="AE189" s="164"/>
      <c r="AF189" s="164"/>
      <c r="AG189" s="164"/>
      <c r="AH189" s="164"/>
      <c r="AI189" s="164"/>
      <c r="AJ189" s="164"/>
      <c r="AK189" s="164"/>
      <c r="AL189" s="164"/>
      <c r="AM189" s="164"/>
      <c r="AN189" s="164"/>
      <c r="AO189" s="164"/>
      <c r="AP189" s="164"/>
      <c r="AQ189" s="164"/>
      <c r="AR189" s="164"/>
      <c r="AS189" s="164"/>
      <c r="AT189" s="164"/>
      <c r="AU189" s="164"/>
      <c r="AV189" s="164"/>
      <c r="AW189" s="164"/>
      <c r="AX189" s="164"/>
      <c r="AY189" s="164"/>
      <c r="AZ189" s="164"/>
      <c r="BA189" s="164"/>
      <c r="BB189" s="164"/>
      <c r="BC189" s="164"/>
      <c r="BD189" s="164"/>
      <c r="BE189" s="164"/>
      <c r="BF189" s="164"/>
      <c r="BG189" s="164"/>
    </row>
    <row r="190" ht="15.75" customHeight="1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  <c r="AD190" s="164"/>
      <c r="AE190" s="164"/>
      <c r="AF190" s="164"/>
      <c r="AG190" s="164"/>
      <c r="AH190" s="164"/>
      <c r="AI190" s="164"/>
      <c r="AJ190" s="164"/>
      <c r="AK190" s="164"/>
      <c r="AL190" s="164"/>
      <c r="AM190" s="164"/>
      <c r="AN190" s="164"/>
      <c r="AO190" s="164"/>
      <c r="AP190" s="164"/>
      <c r="AQ190" s="164"/>
      <c r="AR190" s="164"/>
      <c r="AS190" s="164"/>
      <c r="AT190" s="164"/>
      <c r="AU190" s="164"/>
      <c r="AV190" s="164"/>
      <c r="AW190" s="164"/>
      <c r="AX190" s="164"/>
      <c r="AY190" s="164"/>
      <c r="AZ190" s="164"/>
      <c r="BA190" s="164"/>
      <c r="BB190" s="164"/>
      <c r="BC190" s="164"/>
      <c r="BD190" s="164"/>
      <c r="BE190" s="164"/>
      <c r="BF190" s="164"/>
      <c r="BG190" s="164"/>
    </row>
    <row r="191" ht="15.75" customHeight="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  <c r="AD191" s="164"/>
      <c r="AE191" s="164"/>
      <c r="AF191" s="164"/>
      <c r="AG191" s="164"/>
      <c r="AH191" s="164"/>
      <c r="AI191" s="164"/>
      <c r="AJ191" s="164"/>
      <c r="AK191" s="164"/>
      <c r="AL191" s="164"/>
      <c r="AM191" s="164"/>
      <c r="AN191" s="164"/>
      <c r="AO191" s="164"/>
      <c r="AP191" s="164"/>
      <c r="AQ191" s="164"/>
      <c r="AR191" s="164"/>
      <c r="AS191" s="164"/>
      <c r="AT191" s="164"/>
      <c r="AU191" s="164"/>
      <c r="AV191" s="164"/>
      <c r="AW191" s="164"/>
      <c r="AX191" s="164"/>
      <c r="AY191" s="164"/>
      <c r="AZ191" s="164"/>
      <c r="BA191" s="164"/>
      <c r="BB191" s="164"/>
      <c r="BC191" s="164"/>
      <c r="BD191" s="164"/>
      <c r="BE191" s="164"/>
      <c r="BF191" s="164"/>
      <c r="BG191" s="164"/>
    </row>
    <row r="192" ht="15.75" customHeight="1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  <c r="AD192" s="164"/>
      <c r="AE192" s="164"/>
      <c r="AF192" s="164"/>
      <c r="AG192" s="164"/>
      <c r="AH192" s="164"/>
      <c r="AI192" s="164"/>
      <c r="AJ192" s="164"/>
      <c r="AK192" s="164"/>
      <c r="AL192" s="164"/>
      <c r="AM192" s="164"/>
      <c r="AN192" s="164"/>
      <c r="AO192" s="164"/>
      <c r="AP192" s="164"/>
      <c r="AQ192" s="164"/>
      <c r="AR192" s="164"/>
      <c r="AS192" s="164"/>
      <c r="AT192" s="164"/>
      <c r="AU192" s="164"/>
      <c r="AV192" s="164"/>
      <c r="AW192" s="164"/>
      <c r="AX192" s="164"/>
      <c r="AY192" s="164"/>
      <c r="AZ192" s="164"/>
      <c r="BA192" s="164"/>
      <c r="BB192" s="164"/>
      <c r="BC192" s="164"/>
      <c r="BD192" s="164"/>
      <c r="BE192" s="164"/>
      <c r="BF192" s="164"/>
      <c r="BG192" s="164"/>
    </row>
    <row r="193" ht="15.75" customHeight="1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  <c r="AD193" s="164"/>
      <c r="AE193" s="164"/>
      <c r="AF193" s="164"/>
      <c r="AG193" s="164"/>
      <c r="AH193" s="164"/>
      <c r="AI193" s="164"/>
      <c r="AJ193" s="164"/>
      <c r="AK193" s="164"/>
      <c r="AL193" s="164"/>
      <c r="AM193" s="164"/>
      <c r="AN193" s="164"/>
      <c r="AO193" s="164"/>
      <c r="AP193" s="164"/>
      <c r="AQ193" s="164"/>
      <c r="AR193" s="164"/>
      <c r="AS193" s="164"/>
      <c r="AT193" s="164"/>
      <c r="AU193" s="164"/>
      <c r="AV193" s="164"/>
      <c r="AW193" s="164"/>
      <c r="AX193" s="164"/>
      <c r="AY193" s="164"/>
      <c r="AZ193" s="164"/>
      <c r="BA193" s="164"/>
      <c r="BB193" s="164"/>
      <c r="BC193" s="164"/>
      <c r="BD193" s="164"/>
      <c r="BE193" s="164"/>
      <c r="BF193" s="164"/>
      <c r="BG193" s="164"/>
    </row>
    <row r="194" ht="15.75" customHeight="1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  <c r="AD194" s="164"/>
      <c r="AE194" s="164"/>
      <c r="AF194" s="164"/>
      <c r="AG194" s="164"/>
      <c r="AH194" s="164"/>
      <c r="AI194" s="164"/>
      <c r="AJ194" s="164"/>
      <c r="AK194" s="164"/>
      <c r="AL194" s="164"/>
      <c r="AM194" s="164"/>
      <c r="AN194" s="164"/>
      <c r="AO194" s="164"/>
      <c r="AP194" s="164"/>
      <c r="AQ194" s="164"/>
      <c r="AR194" s="164"/>
      <c r="AS194" s="164"/>
      <c r="AT194" s="164"/>
      <c r="AU194" s="164"/>
      <c r="AV194" s="164"/>
      <c r="AW194" s="164"/>
      <c r="AX194" s="164"/>
      <c r="AY194" s="164"/>
      <c r="AZ194" s="164"/>
      <c r="BA194" s="164"/>
      <c r="BB194" s="164"/>
      <c r="BC194" s="164"/>
      <c r="BD194" s="164"/>
      <c r="BE194" s="164"/>
      <c r="BF194" s="164"/>
      <c r="BG194" s="164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  <c r="AD195" s="164"/>
      <c r="AE195" s="164"/>
      <c r="AF195" s="164"/>
      <c r="AG195" s="164"/>
      <c r="AH195" s="164"/>
      <c r="AI195" s="164"/>
      <c r="AJ195" s="164"/>
      <c r="AK195" s="164"/>
      <c r="AL195" s="164"/>
      <c r="AM195" s="164"/>
      <c r="AN195" s="164"/>
      <c r="AO195" s="164"/>
      <c r="AP195" s="164"/>
      <c r="AQ195" s="164"/>
      <c r="AR195" s="164"/>
      <c r="AS195" s="164"/>
      <c r="AT195" s="164"/>
      <c r="AU195" s="164"/>
      <c r="AV195" s="164"/>
      <c r="AW195" s="164"/>
      <c r="AX195" s="164"/>
      <c r="AY195" s="164"/>
      <c r="AZ195" s="164"/>
      <c r="BA195" s="164"/>
      <c r="BB195" s="164"/>
      <c r="BC195" s="164"/>
      <c r="BD195" s="164"/>
      <c r="BE195" s="164"/>
      <c r="BF195" s="164"/>
      <c r="BG195" s="164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  <c r="AD196" s="164"/>
      <c r="AE196" s="164"/>
      <c r="AF196" s="164"/>
      <c r="AG196" s="164"/>
      <c r="AH196" s="164"/>
      <c r="AI196" s="164"/>
      <c r="AJ196" s="164"/>
      <c r="AK196" s="164"/>
      <c r="AL196" s="164"/>
      <c r="AM196" s="164"/>
      <c r="AN196" s="164"/>
      <c r="AO196" s="164"/>
      <c r="AP196" s="164"/>
      <c r="AQ196" s="164"/>
      <c r="AR196" s="164"/>
      <c r="AS196" s="164"/>
      <c r="AT196" s="164"/>
      <c r="AU196" s="164"/>
      <c r="AV196" s="164"/>
      <c r="AW196" s="164"/>
      <c r="AX196" s="164"/>
      <c r="AY196" s="164"/>
      <c r="AZ196" s="164"/>
      <c r="BA196" s="164"/>
      <c r="BB196" s="164"/>
      <c r="BC196" s="164"/>
      <c r="BD196" s="164"/>
      <c r="BE196" s="164"/>
      <c r="BF196" s="164"/>
      <c r="BG196" s="164"/>
    </row>
    <row r="197" ht="15.75" customHeight="1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  <c r="AD197" s="164"/>
      <c r="AE197" s="164"/>
      <c r="AF197" s="164"/>
      <c r="AG197" s="164"/>
      <c r="AH197" s="164"/>
      <c r="AI197" s="164"/>
      <c r="AJ197" s="164"/>
      <c r="AK197" s="164"/>
      <c r="AL197" s="164"/>
      <c r="AM197" s="164"/>
      <c r="AN197" s="164"/>
      <c r="AO197" s="164"/>
      <c r="AP197" s="164"/>
      <c r="AQ197" s="164"/>
      <c r="AR197" s="164"/>
      <c r="AS197" s="164"/>
      <c r="AT197" s="164"/>
      <c r="AU197" s="164"/>
      <c r="AV197" s="164"/>
      <c r="AW197" s="164"/>
      <c r="AX197" s="164"/>
      <c r="AY197" s="164"/>
      <c r="AZ197" s="164"/>
      <c r="BA197" s="164"/>
      <c r="BB197" s="164"/>
      <c r="BC197" s="164"/>
      <c r="BD197" s="164"/>
      <c r="BE197" s="164"/>
      <c r="BF197" s="164"/>
      <c r="BG197" s="164"/>
    </row>
    <row r="198" ht="15.75" customHeight="1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  <c r="AD198" s="164"/>
      <c r="AE198" s="164"/>
      <c r="AF198" s="164"/>
      <c r="AG198" s="164"/>
      <c r="AH198" s="164"/>
      <c r="AI198" s="164"/>
      <c r="AJ198" s="164"/>
      <c r="AK198" s="164"/>
      <c r="AL198" s="164"/>
      <c r="AM198" s="164"/>
      <c r="AN198" s="164"/>
      <c r="AO198" s="164"/>
      <c r="AP198" s="164"/>
      <c r="AQ198" s="164"/>
      <c r="AR198" s="164"/>
      <c r="AS198" s="164"/>
      <c r="AT198" s="164"/>
      <c r="AU198" s="164"/>
      <c r="AV198" s="164"/>
      <c r="AW198" s="164"/>
      <c r="AX198" s="164"/>
      <c r="AY198" s="164"/>
      <c r="AZ198" s="164"/>
      <c r="BA198" s="164"/>
      <c r="BB198" s="164"/>
      <c r="BC198" s="164"/>
      <c r="BD198" s="164"/>
      <c r="BE198" s="164"/>
      <c r="BF198" s="164"/>
      <c r="BG198" s="164"/>
    </row>
    <row r="199" ht="15.75" customHeight="1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  <c r="AD199" s="164"/>
      <c r="AE199" s="164"/>
      <c r="AF199" s="164"/>
      <c r="AG199" s="164"/>
      <c r="AH199" s="164"/>
      <c r="AI199" s="164"/>
      <c r="AJ199" s="164"/>
      <c r="AK199" s="164"/>
      <c r="AL199" s="164"/>
      <c r="AM199" s="164"/>
      <c r="AN199" s="164"/>
      <c r="AO199" s="164"/>
      <c r="AP199" s="164"/>
      <c r="AQ199" s="164"/>
      <c r="AR199" s="164"/>
      <c r="AS199" s="164"/>
      <c r="AT199" s="164"/>
      <c r="AU199" s="164"/>
      <c r="AV199" s="164"/>
      <c r="AW199" s="164"/>
      <c r="AX199" s="164"/>
      <c r="AY199" s="164"/>
      <c r="AZ199" s="164"/>
      <c r="BA199" s="164"/>
      <c r="BB199" s="164"/>
      <c r="BC199" s="164"/>
      <c r="BD199" s="164"/>
      <c r="BE199" s="164"/>
      <c r="BF199" s="164"/>
      <c r="BG199" s="164"/>
    </row>
    <row r="200" ht="15.75" customHeight="1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  <c r="AO200" s="164"/>
      <c r="AP200" s="164"/>
      <c r="AQ200" s="164"/>
      <c r="AR200" s="164"/>
      <c r="AS200" s="164"/>
      <c r="AT200" s="164"/>
      <c r="AU200" s="164"/>
      <c r="AV200" s="164"/>
      <c r="AW200" s="164"/>
      <c r="AX200" s="164"/>
      <c r="AY200" s="164"/>
      <c r="AZ200" s="164"/>
      <c r="BA200" s="164"/>
      <c r="BB200" s="164"/>
      <c r="BC200" s="164"/>
      <c r="BD200" s="164"/>
      <c r="BE200" s="164"/>
      <c r="BF200" s="164"/>
      <c r="BG200" s="164"/>
    </row>
    <row r="201" ht="15.75" customHeight="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  <c r="AO201" s="164"/>
      <c r="AP201" s="164"/>
      <c r="AQ201" s="164"/>
      <c r="AR201" s="164"/>
      <c r="AS201" s="164"/>
      <c r="AT201" s="164"/>
      <c r="AU201" s="164"/>
      <c r="AV201" s="164"/>
      <c r="AW201" s="164"/>
      <c r="AX201" s="164"/>
      <c r="AY201" s="164"/>
      <c r="AZ201" s="164"/>
      <c r="BA201" s="164"/>
      <c r="BB201" s="164"/>
      <c r="BC201" s="164"/>
      <c r="BD201" s="164"/>
      <c r="BE201" s="164"/>
      <c r="BF201" s="164"/>
      <c r="BG201" s="164"/>
    </row>
    <row r="202" ht="15.75" customHeight="1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  <c r="AE202" s="164"/>
      <c r="AF202" s="164"/>
      <c r="AG202" s="164"/>
      <c r="AH202" s="164"/>
      <c r="AI202" s="164"/>
      <c r="AJ202" s="164"/>
      <c r="AK202" s="164"/>
      <c r="AL202" s="164"/>
      <c r="AM202" s="164"/>
      <c r="AN202" s="164"/>
      <c r="AO202" s="164"/>
      <c r="AP202" s="164"/>
      <c r="AQ202" s="164"/>
      <c r="AR202" s="164"/>
      <c r="AS202" s="164"/>
      <c r="AT202" s="164"/>
      <c r="AU202" s="164"/>
      <c r="AV202" s="164"/>
      <c r="AW202" s="164"/>
      <c r="AX202" s="164"/>
      <c r="AY202" s="164"/>
      <c r="AZ202" s="164"/>
      <c r="BA202" s="164"/>
      <c r="BB202" s="164"/>
      <c r="BC202" s="164"/>
      <c r="BD202" s="164"/>
      <c r="BE202" s="164"/>
      <c r="BF202" s="164"/>
      <c r="BG202" s="164"/>
    </row>
    <row r="203" ht="15.75" customHeight="1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  <c r="AE203" s="164"/>
      <c r="AF203" s="164"/>
      <c r="AG203" s="164"/>
      <c r="AH203" s="164"/>
      <c r="AI203" s="164"/>
      <c r="AJ203" s="164"/>
      <c r="AK203" s="164"/>
      <c r="AL203" s="164"/>
      <c r="AM203" s="164"/>
      <c r="AN203" s="164"/>
      <c r="AO203" s="164"/>
      <c r="AP203" s="164"/>
      <c r="AQ203" s="164"/>
      <c r="AR203" s="164"/>
      <c r="AS203" s="164"/>
      <c r="AT203" s="164"/>
      <c r="AU203" s="164"/>
      <c r="AV203" s="164"/>
      <c r="AW203" s="164"/>
      <c r="AX203" s="164"/>
      <c r="AY203" s="164"/>
      <c r="AZ203" s="164"/>
      <c r="BA203" s="164"/>
      <c r="BB203" s="164"/>
      <c r="BC203" s="164"/>
      <c r="BD203" s="164"/>
      <c r="BE203" s="164"/>
      <c r="BF203" s="164"/>
      <c r="BG203" s="164"/>
    </row>
    <row r="204" ht="15.75" customHeight="1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  <c r="AD204" s="164"/>
      <c r="AE204" s="164"/>
      <c r="AF204" s="164"/>
      <c r="AG204" s="164"/>
      <c r="AH204" s="164"/>
      <c r="AI204" s="164"/>
      <c r="AJ204" s="164"/>
      <c r="AK204" s="164"/>
      <c r="AL204" s="164"/>
      <c r="AM204" s="164"/>
      <c r="AN204" s="164"/>
      <c r="AO204" s="164"/>
      <c r="AP204" s="164"/>
      <c r="AQ204" s="164"/>
      <c r="AR204" s="164"/>
      <c r="AS204" s="164"/>
      <c r="AT204" s="164"/>
      <c r="AU204" s="164"/>
      <c r="AV204" s="164"/>
      <c r="AW204" s="164"/>
      <c r="AX204" s="164"/>
      <c r="AY204" s="164"/>
      <c r="AZ204" s="164"/>
      <c r="BA204" s="164"/>
      <c r="BB204" s="164"/>
      <c r="BC204" s="164"/>
      <c r="BD204" s="164"/>
      <c r="BE204" s="164"/>
      <c r="BF204" s="164"/>
      <c r="BG204" s="164"/>
    </row>
    <row r="205" ht="15.75" customHeight="1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  <c r="AG205" s="164"/>
      <c r="AH205" s="164"/>
      <c r="AI205" s="164"/>
      <c r="AJ205" s="164"/>
      <c r="AK205" s="164"/>
      <c r="AL205" s="164"/>
      <c r="AM205" s="164"/>
      <c r="AN205" s="164"/>
      <c r="AO205" s="164"/>
      <c r="AP205" s="164"/>
      <c r="AQ205" s="164"/>
      <c r="AR205" s="164"/>
      <c r="AS205" s="164"/>
      <c r="AT205" s="164"/>
      <c r="AU205" s="164"/>
      <c r="AV205" s="164"/>
      <c r="AW205" s="164"/>
      <c r="AX205" s="164"/>
      <c r="AY205" s="164"/>
      <c r="AZ205" s="164"/>
      <c r="BA205" s="164"/>
      <c r="BB205" s="164"/>
      <c r="BC205" s="164"/>
      <c r="BD205" s="164"/>
      <c r="BE205" s="164"/>
      <c r="BF205" s="164"/>
      <c r="BG205" s="164"/>
    </row>
    <row r="206" ht="15.75" customHeight="1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  <c r="AD206" s="164"/>
      <c r="AE206" s="164"/>
      <c r="AF206" s="164"/>
      <c r="AG206" s="164"/>
      <c r="AH206" s="164"/>
      <c r="AI206" s="164"/>
      <c r="AJ206" s="164"/>
      <c r="AK206" s="164"/>
      <c r="AL206" s="164"/>
      <c r="AM206" s="164"/>
      <c r="AN206" s="164"/>
      <c r="AO206" s="164"/>
      <c r="AP206" s="164"/>
      <c r="AQ206" s="164"/>
      <c r="AR206" s="164"/>
      <c r="AS206" s="164"/>
      <c r="AT206" s="164"/>
      <c r="AU206" s="164"/>
      <c r="AV206" s="164"/>
      <c r="AW206" s="164"/>
      <c r="AX206" s="164"/>
      <c r="AY206" s="164"/>
      <c r="AZ206" s="164"/>
      <c r="BA206" s="164"/>
      <c r="BB206" s="164"/>
      <c r="BC206" s="164"/>
      <c r="BD206" s="164"/>
      <c r="BE206" s="164"/>
      <c r="BF206" s="164"/>
      <c r="BG206" s="164"/>
    </row>
    <row r="207" ht="15.75" customHeight="1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  <c r="AD207" s="164"/>
      <c r="AE207" s="164"/>
      <c r="AF207" s="164"/>
      <c r="AG207" s="164"/>
      <c r="AH207" s="164"/>
      <c r="AI207" s="164"/>
      <c r="AJ207" s="164"/>
      <c r="AK207" s="164"/>
      <c r="AL207" s="164"/>
      <c r="AM207" s="164"/>
      <c r="AN207" s="164"/>
      <c r="AO207" s="164"/>
      <c r="AP207" s="164"/>
      <c r="AQ207" s="164"/>
      <c r="AR207" s="164"/>
      <c r="AS207" s="164"/>
      <c r="AT207" s="164"/>
      <c r="AU207" s="164"/>
      <c r="AV207" s="164"/>
      <c r="AW207" s="164"/>
      <c r="AX207" s="164"/>
      <c r="AY207" s="164"/>
      <c r="AZ207" s="164"/>
      <c r="BA207" s="164"/>
      <c r="BB207" s="164"/>
      <c r="BC207" s="164"/>
      <c r="BD207" s="164"/>
      <c r="BE207" s="164"/>
      <c r="BF207" s="164"/>
      <c r="BG207" s="164"/>
    </row>
    <row r="208" ht="15.75" customHeight="1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  <c r="AD208" s="164"/>
      <c r="AE208" s="164"/>
      <c r="AF208" s="164"/>
      <c r="AG208" s="164"/>
      <c r="AH208" s="164"/>
      <c r="AI208" s="164"/>
      <c r="AJ208" s="164"/>
      <c r="AK208" s="164"/>
      <c r="AL208" s="164"/>
      <c r="AM208" s="164"/>
      <c r="AN208" s="164"/>
      <c r="AO208" s="164"/>
      <c r="AP208" s="164"/>
      <c r="AQ208" s="164"/>
      <c r="AR208" s="164"/>
      <c r="AS208" s="164"/>
      <c r="AT208" s="164"/>
      <c r="AU208" s="164"/>
      <c r="AV208" s="164"/>
      <c r="AW208" s="164"/>
      <c r="AX208" s="164"/>
      <c r="AY208" s="164"/>
      <c r="AZ208" s="164"/>
      <c r="BA208" s="164"/>
      <c r="BB208" s="164"/>
      <c r="BC208" s="164"/>
      <c r="BD208" s="164"/>
      <c r="BE208" s="164"/>
      <c r="BF208" s="164"/>
      <c r="BG208" s="164"/>
    </row>
    <row r="209" ht="15.75" customHeight="1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  <c r="AK209" s="164"/>
      <c r="AL209" s="164"/>
      <c r="AM209" s="164"/>
      <c r="AN209" s="164"/>
      <c r="AO209" s="164"/>
      <c r="AP209" s="164"/>
      <c r="AQ209" s="164"/>
      <c r="AR209" s="164"/>
      <c r="AS209" s="164"/>
      <c r="AT209" s="164"/>
      <c r="AU209" s="164"/>
      <c r="AV209" s="164"/>
      <c r="AW209" s="164"/>
      <c r="AX209" s="164"/>
      <c r="AY209" s="164"/>
      <c r="AZ209" s="164"/>
      <c r="BA209" s="164"/>
      <c r="BB209" s="164"/>
      <c r="BC209" s="164"/>
      <c r="BD209" s="164"/>
      <c r="BE209" s="164"/>
      <c r="BF209" s="164"/>
      <c r="BG209" s="164"/>
    </row>
    <row r="210" ht="15.75" customHeight="1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  <c r="AE210" s="164"/>
      <c r="AF210" s="164"/>
      <c r="AG210" s="164"/>
      <c r="AH210" s="164"/>
      <c r="AI210" s="164"/>
      <c r="AJ210" s="164"/>
      <c r="AK210" s="164"/>
      <c r="AL210" s="164"/>
      <c r="AM210" s="164"/>
      <c r="AN210" s="164"/>
      <c r="AO210" s="164"/>
      <c r="AP210" s="164"/>
      <c r="AQ210" s="164"/>
      <c r="AR210" s="164"/>
      <c r="AS210" s="164"/>
      <c r="AT210" s="164"/>
      <c r="AU210" s="164"/>
      <c r="AV210" s="164"/>
      <c r="AW210" s="164"/>
      <c r="AX210" s="164"/>
      <c r="AY210" s="164"/>
      <c r="AZ210" s="164"/>
      <c r="BA210" s="164"/>
      <c r="BB210" s="164"/>
      <c r="BC210" s="164"/>
      <c r="BD210" s="164"/>
      <c r="BE210" s="164"/>
      <c r="BF210" s="164"/>
      <c r="BG210" s="164"/>
    </row>
    <row r="211" ht="15.75" customHeight="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  <c r="AD211" s="164"/>
      <c r="AE211" s="164"/>
      <c r="AF211" s="164"/>
      <c r="AG211" s="164"/>
      <c r="AH211" s="164"/>
      <c r="AI211" s="164"/>
      <c r="AJ211" s="164"/>
      <c r="AK211" s="164"/>
      <c r="AL211" s="164"/>
      <c r="AM211" s="164"/>
      <c r="AN211" s="164"/>
      <c r="AO211" s="164"/>
      <c r="AP211" s="164"/>
      <c r="AQ211" s="164"/>
      <c r="AR211" s="164"/>
      <c r="AS211" s="164"/>
      <c r="AT211" s="164"/>
      <c r="AU211" s="164"/>
      <c r="AV211" s="164"/>
      <c r="AW211" s="164"/>
      <c r="AX211" s="164"/>
      <c r="AY211" s="164"/>
      <c r="AZ211" s="164"/>
      <c r="BA211" s="164"/>
      <c r="BB211" s="164"/>
      <c r="BC211" s="164"/>
      <c r="BD211" s="164"/>
      <c r="BE211" s="164"/>
      <c r="BF211" s="164"/>
      <c r="BG211" s="164"/>
    </row>
    <row r="212" ht="15.75" customHeight="1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  <c r="AD212" s="164"/>
      <c r="AE212" s="164"/>
      <c r="AF212" s="164"/>
      <c r="AG212" s="164"/>
      <c r="AH212" s="164"/>
      <c r="AI212" s="164"/>
      <c r="AJ212" s="164"/>
      <c r="AK212" s="164"/>
      <c r="AL212" s="164"/>
      <c r="AM212" s="164"/>
      <c r="AN212" s="164"/>
      <c r="AO212" s="164"/>
      <c r="AP212" s="164"/>
      <c r="AQ212" s="164"/>
      <c r="AR212" s="164"/>
      <c r="AS212" s="164"/>
      <c r="AT212" s="164"/>
      <c r="AU212" s="164"/>
      <c r="AV212" s="164"/>
      <c r="AW212" s="164"/>
      <c r="AX212" s="164"/>
      <c r="AY212" s="164"/>
      <c r="AZ212" s="164"/>
      <c r="BA212" s="164"/>
      <c r="BB212" s="164"/>
      <c r="BC212" s="164"/>
      <c r="BD212" s="164"/>
      <c r="BE212" s="164"/>
      <c r="BF212" s="164"/>
      <c r="BG212" s="164"/>
    </row>
    <row r="213" ht="15.75" customHeight="1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  <c r="AD213" s="164"/>
      <c r="AE213" s="164"/>
      <c r="AF213" s="164"/>
      <c r="AG213" s="164"/>
      <c r="AH213" s="164"/>
      <c r="AI213" s="164"/>
      <c r="AJ213" s="164"/>
      <c r="AK213" s="164"/>
      <c r="AL213" s="164"/>
      <c r="AM213" s="164"/>
      <c r="AN213" s="164"/>
      <c r="AO213" s="164"/>
      <c r="AP213" s="164"/>
      <c r="AQ213" s="164"/>
      <c r="AR213" s="164"/>
      <c r="AS213" s="164"/>
      <c r="AT213" s="164"/>
      <c r="AU213" s="164"/>
      <c r="AV213" s="164"/>
      <c r="AW213" s="164"/>
      <c r="AX213" s="164"/>
      <c r="AY213" s="164"/>
      <c r="AZ213" s="164"/>
      <c r="BA213" s="164"/>
      <c r="BB213" s="164"/>
      <c r="BC213" s="164"/>
      <c r="BD213" s="164"/>
      <c r="BE213" s="164"/>
      <c r="BF213" s="164"/>
      <c r="BG213" s="164"/>
    </row>
    <row r="214" ht="15.75" customHeight="1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  <c r="AE214" s="164"/>
      <c r="AF214" s="164"/>
      <c r="AG214" s="164"/>
      <c r="AH214" s="164"/>
      <c r="AI214" s="164"/>
      <c r="AJ214" s="164"/>
      <c r="AK214" s="164"/>
      <c r="AL214" s="164"/>
      <c r="AM214" s="164"/>
      <c r="AN214" s="164"/>
      <c r="AO214" s="164"/>
      <c r="AP214" s="164"/>
      <c r="AQ214" s="164"/>
      <c r="AR214" s="164"/>
      <c r="AS214" s="164"/>
      <c r="AT214" s="164"/>
      <c r="AU214" s="164"/>
      <c r="AV214" s="164"/>
      <c r="AW214" s="164"/>
      <c r="AX214" s="164"/>
      <c r="AY214" s="164"/>
      <c r="AZ214" s="164"/>
      <c r="BA214" s="164"/>
      <c r="BB214" s="164"/>
      <c r="BC214" s="164"/>
      <c r="BD214" s="164"/>
      <c r="BE214" s="164"/>
      <c r="BF214" s="164"/>
      <c r="BG214" s="164"/>
    </row>
    <row r="215" ht="15.75" customHeight="1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  <c r="AD215" s="164"/>
      <c r="AE215" s="164"/>
      <c r="AF215" s="164"/>
      <c r="AG215" s="164"/>
      <c r="AH215" s="164"/>
      <c r="AI215" s="164"/>
      <c r="AJ215" s="164"/>
      <c r="AK215" s="164"/>
      <c r="AL215" s="164"/>
      <c r="AM215" s="164"/>
      <c r="AN215" s="164"/>
      <c r="AO215" s="164"/>
      <c r="AP215" s="164"/>
      <c r="AQ215" s="164"/>
      <c r="AR215" s="164"/>
      <c r="AS215" s="164"/>
      <c r="AT215" s="164"/>
      <c r="AU215" s="164"/>
      <c r="AV215" s="164"/>
      <c r="AW215" s="164"/>
      <c r="AX215" s="164"/>
      <c r="AY215" s="164"/>
      <c r="AZ215" s="164"/>
      <c r="BA215" s="164"/>
      <c r="BB215" s="164"/>
      <c r="BC215" s="164"/>
      <c r="BD215" s="164"/>
      <c r="BE215" s="164"/>
      <c r="BF215" s="164"/>
      <c r="BG215" s="164"/>
    </row>
    <row r="216" ht="15.75" customHeight="1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  <c r="AD216" s="164"/>
      <c r="AE216" s="164"/>
      <c r="AF216" s="164"/>
      <c r="AG216" s="164"/>
      <c r="AH216" s="164"/>
      <c r="AI216" s="164"/>
      <c r="AJ216" s="164"/>
      <c r="AK216" s="164"/>
      <c r="AL216" s="164"/>
      <c r="AM216" s="164"/>
      <c r="AN216" s="164"/>
      <c r="AO216" s="164"/>
      <c r="AP216" s="164"/>
      <c r="AQ216" s="164"/>
      <c r="AR216" s="164"/>
      <c r="AS216" s="164"/>
      <c r="AT216" s="164"/>
      <c r="AU216" s="164"/>
      <c r="AV216" s="164"/>
      <c r="AW216" s="164"/>
      <c r="AX216" s="164"/>
      <c r="AY216" s="164"/>
      <c r="AZ216" s="164"/>
      <c r="BA216" s="164"/>
      <c r="BB216" s="164"/>
      <c r="BC216" s="164"/>
      <c r="BD216" s="164"/>
      <c r="BE216" s="164"/>
      <c r="BF216" s="164"/>
      <c r="BG216" s="164"/>
    </row>
    <row r="217" ht="15.75" customHeight="1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  <c r="AD217" s="164"/>
      <c r="AE217" s="164"/>
      <c r="AF217" s="164"/>
      <c r="AG217" s="164"/>
      <c r="AH217" s="164"/>
      <c r="AI217" s="164"/>
      <c r="AJ217" s="164"/>
      <c r="AK217" s="164"/>
      <c r="AL217" s="164"/>
      <c r="AM217" s="164"/>
      <c r="AN217" s="164"/>
      <c r="AO217" s="164"/>
      <c r="AP217" s="164"/>
      <c r="AQ217" s="164"/>
      <c r="AR217" s="164"/>
      <c r="AS217" s="164"/>
      <c r="AT217" s="164"/>
      <c r="AU217" s="164"/>
      <c r="AV217" s="164"/>
      <c r="AW217" s="164"/>
      <c r="AX217" s="164"/>
      <c r="AY217" s="164"/>
      <c r="AZ217" s="164"/>
      <c r="BA217" s="164"/>
      <c r="BB217" s="164"/>
      <c r="BC217" s="164"/>
      <c r="BD217" s="164"/>
      <c r="BE217" s="164"/>
      <c r="BF217" s="164"/>
      <c r="BG217" s="164"/>
    </row>
    <row r="218" ht="15.75" customHeight="1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  <c r="AD218" s="164"/>
      <c r="AE218" s="164"/>
      <c r="AF218" s="164"/>
      <c r="AG218" s="164"/>
      <c r="AH218" s="164"/>
      <c r="AI218" s="164"/>
      <c r="AJ218" s="164"/>
      <c r="AK218" s="164"/>
      <c r="AL218" s="164"/>
      <c r="AM218" s="164"/>
      <c r="AN218" s="164"/>
      <c r="AO218" s="164"/>
      <c r="AP218" s="164"/>
      <c r="AQ218" s="164"/>
      <c r="AR218" s="164"/>
      <c r="AS218" s="164"/>
      <c r="AT218" s="164"/>
      <c r="AU218" s="164"/>
      <c r="AV218" s="164"/>
      <c r="AW218" s="164"/>
      <c r="AX218" s="164"/>
      <c r="AY218" s="164"/>
      <c r="AZ218" s="164"/>
      <c r="BA218" s="164"/>
      <c r="BB218" s="164"/>
      <c r="BC218" s="164"/>
      <c r="BD218" s="164"/>
      <c r="BE218" s="164"/>
      <c r="BF218" s="164"/>
      <c r="BG218" s="164"/>
    </row>
    <row r="219" ht="15.75" customHeight="1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  <c r="AD219" s="164"/>
      <c r="AE219" s="164"/>
      <c r="AF219" s="164"/>
      <c r="AG219" s="164"/>
      <c r="AH219" s="164"/>
      <c r="AI219" s="164"/>
      <c r="AJ219" s="164"/>
      <c r="AK219" s="164"/>
      <c r="AL219" s="164"/>
      <c r="AM219" s="164"/>
      <c r="AN219" s="164"/>
      <c r="AO219" s="164"/>
      <c r="AP219" s="164"/>
      <c r="AQ219" s="164"/>
      <c r="AR219" s="164"/>
      <c r="AS219" s="164"/>
      <c r="AT219" s="164"/>
      <c r="AU219" s="164"/>
      <c r="AV219" s="164"/>
      <c r="AW219" s="164"/>
      <c r="AX219" s="164"/>
      <c r="AY219" s="164"/>
      <c r="AZ219" s="164"/>
      <c r="BA219" s="164"/>
      <c r="BB219" s="164"/>
      <c r="BC219" s="164"/>
      <c r="BD219" s="164"/>
      <c r="BE219" s="164"/>
      <c r="BF219" s="164"/>
      <c r="BG219" s="164"/>
    </row>
    <row r="220" ht="15.75" customHeight="1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  <c r="AD220" s="164"/>
      <c r="AE220" s="164"/>
      <c r="AF220" s="164"/>
      <c r="AG220" s="164"/>
      <c r="AH220" s="164"/>
      <c r="AI220" s="164"/>
      <c r="AJ220" s="164"/>
      <c r="AK220" s="164"/>
      <c r="AL220" s="164"/>
      <c r="AM220" s="164"/>
      <c r="AN220" s="164"/>
      <c r="AO220" s="164"/>
      <c r="AP220" s="164"/>
      <c r="AQ220" s="164"/>
      <c r="AR220" s="164"/>
      <c r="AS220" s="164"/>
      <c r="AT220" s="164"/>
      <c r="AU220" s="164"/>
      <c r="AV220" s="164"/>
      <c r="AW220" s="164"/>
      <c r="AX220" s="164"/>
      <c r="AY220" s="164"/>
      <c r="AZ220" s="164"/>
      <c r="BA220" s="164"/>
      <c r="BB220" s="164"/>
      <c r="BC220" s="164"/>
      <c r="BD220" s="164"/>
      <c r="BE220" s="164"/>
      <c r="BF220" s="164"/>
      <c r="BG220" s="164"/>
    </row>
    <row r="221" ht="15.75" customHeight="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  <c r="AD221" s="164"/>
      <c r="AE221" s="164"/>
      <c r="AF221" s="164"/>
      <c r="AG221" s="164"/>
      <c r="AH221" s="164"/>
      <c r="AI221" s="164"/>
      <c r="AJ221" s="164"/>
      <c r="AK221" s="164"/>
      <c r="AL221" s="164"/>
      <c r="AM221" s="164"/>
      <c r="AN221" s="164"/>
      <c r="AO221" s="164"/>
      <c r="AP221" s="164"/>
      <c r="AQ221" s="164"/>
      <c r="AR221" s="164"/>
      <c r="AS221" s="164"/>
      <c r="AT221" s="164"/>
      <c r="AU221" s="164"/>
      <c r="AV221" s="164"/>
      <c r="AW221" s="164"/>
      <c r="AX221" s="164"/>
      <c r="AY221" s="164"/>
      <c r="AZ221" s="164"/>
      <c r="BA221" s="164"/>
      <c r="BB221" s="164"/>
      <c r="BC221" s="164"/>
      <c r="BD221" s="164"/>
      <c r="BE221" s="164"/>
      <c r="BF221" s="164"/>
      <c r="BG221" s="164"/>
    </row>
    <row r="222" ht="15.75" customHeight="1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  <c r="AE222" s="164"/>
      <c r="AF222" s="164"/>
      <c r="AG222" s="164"/>
      <c r="AH222" s="164"/>
      <c r="AI222" s="164"/>
      <c r="AJ222" s="164"/>
      <c r="AK222" s="164"/>
      <c r="AL222" s="164"/>
      <c r="AM222" s="164"/>
      <c r="AN222" s="164"/>
      <c r="AO222" s="164"/>
      <c r="AP222" s="164"/>
      <c r="AQ222" s="164"/>
      <c r="AR222" s="164"/>
      <c r="AS222" s="164"/>
      <c r="AT222" s="164"/>
      <c r="AU222" s="164"/>
      <c r="AV222" s="164"/>
      <c r="AW222" s="164"/>
      <c r="AX222" s="164"/>
      <c r="AY222" s="164"/>
      <c r="AZ222" s="164"/>
      <c r="BA222" s="164"/>
      <c r="BB222" s="164"/>
      <c r="BC222" s="164"/>
      <c r="BD222" s="164"/>
      <c r="BE222" s="164"/>
      <c r="BF222" s="164"/>
      <c r="BG222" s="164"/>
    </row>
    <row r="223" ht="15.75" customHeight="1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  <c r="AE223" s="164"/>
      <c r="AF223" s="164"/>
      <c r="AG223" s="164"/>
      <c r="AH223" s="164"/>
      <c r="AI223" s="164"/>
      <c r="AJ223" s="164"/>
      <c r="AK223" s="164"/>
      <c r="AL223" s="164"/>
      <c r="AM223" s="164"/>
      <c r="AN223" s="164"/>
      <c r="AO223" s="164"/>
      <c r="AP223" s="164"/>
      <c r="AQ223" s="164"/>
      <c r="AR223" s="164"/>
      <c r="AS223" s="164"/>
      <c r="AT223" s="164"/>
      <c r="AU223" s="164"/>
      <c r="AV223" s="164"/>
      <c r="AW223" s="164"/>
      <c r="AX223" s="164"/>
      <c r="AY223" s="164"/>
      <c r="AZ223" s="164"/>
      <c r="BA223" s="164"/>
      <c r="BB223" s="164"/>
      <c r="BC223" s="164"/>
      <c r="BD223" s="164"/>
      <c r="BE223" s="164"/>
      <c r="BF223" s="164"/>
      <c r="BG223" s="164"/>
    </row>
    <row r="224" ht="15.75" customHeight="1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  <c r="AE224" s="164"/>
      <c r="AF224" s="164"/>
      <c r="AG224" s="164"/>
      <c r="AH224" s="164"/>
      <c r="AI224" s="164"/>
      <c r="AJ224" s="164"/>
      <c r="AK224" s="164"/>
      <c r="AL224" s="164"/>
      <c r="AM224" s="164"/>
      <c r="AN224" s="164"/>
      <c r="AO224" s="164"/>
      <c r="AP224" s="164"/>
      <c r="AQ224" s="164"/>
      <c r="AR224" s="164"/>
      <c r="AS224" s="164"/>
      <c r="AT224" s="164"/>
      <c r="AU224" s="164"/>
      <c r="AV224" s="164"/>
      <c r="AW224" s="164"/>
      <c r="AX224" s="164"/>
      <c r="AY224" s="164"/>
      <c r="AZ224" s="164"/>
      <c r="BA224" s="164"/>
      <c r="BB224" s="164"/>
      <c r="BC224" s="164"/>
      <c r="BD224" s="164"/>
      <c r="BE224" s="164"/>
      <c r="BF224" s="164"/>
      <c r="BG224" s="164"/>
    </row>
    <row r="225" ht="15.75" customHeight="1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  <c r="AD225" s="164"/>
      <c r="AE225" s="164"/>
      <c r="AF225" s="164"/>
      <c r="AG225" s="164"/>
      <c r="AH225" s="164"/>
      <c r="AI225" s="164"/>
      <c r="AJ225" s="164"/>
      <c r="AK225" s="164"/>
      <c r="AL225" s="164"/>
      <c r="AM225" s="164"/>
      <c r="AN225" s="164"/>
      <c r="AO225" s="164"/>
      <c r="AP225" s="164"/>
      <c r="AQ225" s="164"/>
      <c r="AR225" s="164"/>
      <c r="AS225" s="164"/>
      <c r="AT225" s="164"/>
      <c r="AU225" s="164"/>
      <c r="AV225" s="164"/>
      <c r="AW225" s="164"/>
      <c r="AX225" s="164"/>
      <c r="AY225" s="164"/>
      <c r="AZ225" s="164"/>
      <c r="BA225" s="164"/>
      <c r="BB225" s="164"/>
      <c r="BC225" s="164"/>
      <c r="BD225" s="164"/>
      <c r="BE225" s="164"/>
      <c r="BF225" s="164"/>
      <c r="BG225" s="164"/>
    </row>
    <row r="226" ht="15.75" customHeight="1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  <c r="AD226" s="164"/>
      <c r="AE226" s="164"/>
      <c r="AF226" s="164"/>
      <c r="AG226" s="164"/>
      <c r="AH226" s="164"/>
      <c r="AI226" s="164"/>
      <c r="AJ226" s="164"/>
      <c r="AK226" s="164"/>
      <c r="AL226" s="164"/>
      <c r="AM226" s="164"/>
      <c r="AN226" s="164"/>
      <c r="AO226" s="164"/>
      <c r="AP226" s="164"/>
      <c r="AQ226" s="164"/>
      <c r="AR226" s="164"/>
      <c r="AS226" s="164"/>
      <c r="AT226" s="164"/>
      <c r="AU226" s="164"/>
      <c r="AV226" s="164"/>
      <c r="AW226" s="164"/>
      <c r="AX226" s="164"/>
      <c r="AY226" s="164"/>
      <c r="AZ226" s="164"/>
      <c r="BA226" s="164"/>
      <c r="BB226" s="164"/>
      <c r="BC226" s="164"/>
      <c r="BD226" s="164"/>
      <c r="BE226" s="164"/>
      <c r="BF226" s="164"/>
      <c r="BG226" s="164"/>
    </row>
    <row r="227" ht="15.75" customHeight="1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  <c r="AD227" s="164"/>
      <c r="AE227" s="164"/>
      <c r="AF227" s="164"/>
      <c r="AG227" s="164"/>
      <c r="AH227" s="164"/>
      <c r="AI227" s="164"/>
      <c r="AJ227" s="164"/>
      <c r="AK227" s="164"/>
      <c r="AL227" s="164"/>
      <c r="AM227" s="164"/>
      <c r="AN227" s="164"/>
      <c r="AO227" s="164"/>
      <c r="AP227" s="164"/>
      <c r="AQ227" s="164"/>
      <c r="AR227" s="164"/>
      <c r="AS227" s="164"/>
      <c r="AT227" s="164"/>
      <c r="AU227" s="164"/>
      <c r="AV227" s="164"/>
      <c r="AW227" s="164"/>
      <c r="AX227" s="164"/>
      <c r="AY227" s="164"/>
      <c r="AZ227" s="164"/>
      <c r="BA227" s="164"/>
      <c r="BB227" s="164"/>
      <c r="BC227" s="164"/>
      <c r="BD227" s="164"/>
      <c r="BE227" s="164"/>
      <c r="BF227" s="164"/>
      <c r="BG227" s="164"/>
    </row>
    <row r="228" ht="15.75" customHeight="1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  <c r="AE228" s="164"/>
      <c r="AF228" s="164"/>
      <c r="AG228" s="164"/>
      <c r="AH228" s="164"/>
      <c r="AI228" s="164"/>
      <c r="AJ228" s="164"/>
      <c r="AK228" s="164"/>
      <c r="AL228" s="164"/>
      <c r="AM228" s="164"/>
      <c r="AN228" s="164"/>
      <c r="AO228" s="164"/>
      <c r="AP228" s="164"/>
      <c r="AQ228" s="164"/>
      <c r="AR228" s="164"/>
      <c r="AS228" s="164"/>
      <c r="AT228" s="164"/>
      <c r="AU228" s="164"/>
      <c r="AV228" s="164"/>
      <c r="AW228" s="164"/>
      <c r="AX228" s="164"/>
      <c r="AY228" s="164"/>
      <c r="AZ228" s="164"/>
      <c r="BA228" s="164"/>
      <c r="BB228" s="164"/>
      <c r="BC228" s="164"/>
      <c r="BD228" s="164"/>
      <c r="BE228" s="164"/>
      <c r="BF228" s="164"/>
      <c r="BG228" s="164"/>
    </row>
    <row r="229" ht="15.75" customHeight="1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  <c r="AE229" s="164"/>
      <c r="AF229" s="164"/>
      <c r="AG229" s="164"/>
      <c r="AH229" s="164"/>
      <c r="AI229" s="164"/>
      <c r="AJ229" s="164"/>
      <c r="AK229" s="164"/>
      <c r="AL229" s="164"/>
      <c r="AM229" s="164"/>
      <c r="AN229" s="164"/>
      <c r="AO229" s="164"/>
      <c r="AP229" s="164"/>
      <c r="AQ229" s="164"/>
      <c r="AR229" s="164"/>
      <c r="AS229" s="164"/>
      <c r="AT229" s="164"/>
      <c r="AU229" s="164"/>
      <c r="AV229" s="164"/>
      <c r="AW229" s="164"/>
      <c r="AX229" s="164"/>
      <c r="AY229" s="164"/>
      <c r="AZ229" s="164"/>
      <c r="BA229" s="164"/>
      <c r="BB229" s="164"/>
      <c r="BC229" s="164"/>
      <c r="BD229" s="164"/>
      <c r="BE229" s="164"/>
      <c r="BF229" s="164"/>
      <c r="BG229" s="164"/>
    </row>
    <row r="230" ht="15.75" customHeight="1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  <c r="AD230" s="164"/>
      <c r="AE230" s="164"/>
      <c r="AF230" s="164"/>
      <c r="AG230" s="164"/>
      <c r="AH230" s="164"/>
      <c r="AI230" s="164"/>
      <c r="AJ230" s="164"/>
      <c r="AK230" s="164"/>
      <c r="AL230" s="164"/>
      <c r="AM230" s="164"/>
      <c r="AN230" s="164"/>
      <c r="AO230" s="164"/>
      <c r="AP230" s="164"/>
      <c r="AQ230" s="164"/>
      <c r="AR230" s="164"/>
      <c r="AS230" s="164"/>
      <c r="AT230" s="164"/>
      <c r="AU230" s="164"/>
      <c r="AV230" s="164"/>
      <c r="AW230" s="164"/>
      <c r="AX230" s="164"/>
      <c r="AY230" s="164"/>
      <c r="AZ230" s="164"/>
      <c r="BA230" s="164"/>
      <c r="BB230" s="164"/>
      <c r="BC230" s="164"/>
      <c r="BD230" s="164"/>
      <c r="BE230" s="164"/>
      <c r="BF230" s="164"/>
      <c r="BG230" s="164"/>
    </row>
    <row r="231" ht="15.75" customHeight="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  <c r="AD231" s="164"/>
      <c r="AE231" s="164"/>
      <c r="AF231" s="164"/>
      <c r="AG231" s="164"/>
      <c r="AH231" s="164"/>
      <c r="AI231" s="164"/>
      <c r="AJ231" s="164"/>
      <c r="AK231" s="164"/>
      <c r="AL231" s="164"/>
      <c r="AM231" s="164"/>
      <c r="AN231" s="164"/>
      <c r="AO231" s="164"/>
      <c r="AP231" s="164"/>
      <c r="AQ231" s="164"/>
      <c r="AR231" s="164"/>
      <c r="AS231" s="164"/>
      <c r="AT231" s="164"/>
      <c r="AU231" s="164"/>
      <c r="AV231" s="164"/>
      <c r="AW231" s="164"/>
      <c r="AX231" s="164"/>
      <c r="AY231" s="164"/>
      <c r="AZ231" s="164"/>
      <c r="BA231" s="164"/>
      <c r="BB231" s="164"/>
      <c r="BC231" s="164"/>
      <c r="BD231" s="164"/>
      <c r="BE231" s="164"/>
      <c r="BF231" s="164"/>
      <c r="BG231" s="164"/>
    </row>
    <row r="232" ht="15.75" customHeight="1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  <c r="AD232" s="164"/>
      <c r="AE232" s="164"/>
      <c r="AF232" s="164"/>
      <c r="AG232" s="164"/>
      <c r="AH232" s="164"/>
      <c r="AI232" s="164"/>
      <c r="AJ232" s="164"/>
      <c r="AK232" s="164"/>
      <c r="AL232" s="164"/>
      <c r="AM232" s="164"/>
      <c r="AN232" s="164"/>
      <c r="AO232" s="164"/>
      <c r="AP232" s="164"/>
      <c r="AQ232" s="164"/>
      <c r="AR232" s="164"/>
      <c r="AS232" s="164"/>
      <c r="AT232" s="164"/>
      <c r="AU232" s="164"/>
      <c r="AV232" s="164"/>
      <c r="AW232" s="164"/>
      <c r="AX232" s="164"/>
      <c r="AY232" s="164"/>
      <c r="AZ232" s="164"/>
      <c r="BA232" s="164"/>
      <c r="BB232" s="164"/>
      <c r="BC232" s="164"/>
      <c r="BD232" s="164"/>
      <c r="BE232" s="164"/>
      <c r="BF232" s="164"/>
      <c r="BG232" s="164"/>
    </row>
    <row r="233" ht="15.75" customHeight="1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  <c r="AD233" s="164"/>
      <c r="AE233" s="164"/>
      <c r="AF233" s="164"/>
      <c r="AG233" s="164"/>
      <c r="AH233" s="164"/>
      <c r="AI233" s="164"/>
      <c r="AJ233" s="164"/>
      <c r="AK233" s="164"/>
      <c r="AL233" s="164"/>
      <c r="AM233" s="164"/>
      <c r="AN233" s="164"/>
      <c r="AO233" s="164"/>
      <c r="AP233" s="164"/>
      <c r="AQ233" s="164"/>
      <c r="AR233" s="164"/>
      <c r="AS233" s="164"/>
      <c r="AT233" s="164"/>
      <c r="AU233" s="164"/>
      <c r="AV233" s="164"/>
      <c r="AW233" s="164"/>
      <c r="AX233" s="164"/>
      <c r="AY233" s="164"/>
      <c r="AZ233" s="164"/>
      <c r="BA233" s="164"/>
      <c r="BB233" s="164"/>
      <c r="BC233" s="164"/>
      <c r="BD233" s="164"/>
      <c r="BE233" s="164"/>
      <c r="BF233" s="164"/>
      <c r="BG233" s="164"/>
    </row>
    <row r="234" ht="15.75" customHeight="1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  <c r="AD234" s="164"/>
      <c r="AE234" s="164"/>
      <c r="AF234" s="164"/>
      <c r="AG234" s="164"/>
      <c r="AH234" s="164"/>
      <c r="AI234" s="164"/>
      <c r="AJ234" s="164"/>
      <c r="AK234" s="164"/>
      <c r="AL234" s="164"/>
      <c r="AM234" s="164"/>
      <c r="AN234" s="164"/>
      <c r="AO234" s="164"/>
      <c r="AP234" s="164"/>
      <c r="AQ234" s="164"/>
      <c r="AR234" s="164"/>
      <c r="AS234" s="164"/>
      <c r="AT234" s="164"/>
      <c r="AU234" s="164"/>
      <c r="AV234" s="164"/>
      <c r="AW234" s="164"/>
      <c r="AX234" s="164"/>
      <c r="AY234" s="164"/>
      <c r="AZ234" s="164"/>
      <c r="BA234" s="164"/>
      <c r="BB234" s="164"/>
      <c r="BC234" s="164"/>
      <c r="BD234" s="164"/>
      <c r="BE234" s="164"/>
      <c r="BF234" s="164"/>
      <c r="BG234" s="164"/>
    </row>
    <row r="235" ht="15.75" customHeight="1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  <c r="AD235" s="164"/>
      <c r="AE235" s="164"/>
      <c r="AF235" s="164"/>
      <c r="AG235" s="164"/>
      <c r="AH235" s="164"/>
      <c r="AI235" s="164"/>
      <c r="AJ235" s="164"/>
      <c r="AK235" s="164"/>
      <c r="AL235" s="164"/>
      <c r="AM235" s="164"/>
      <c r="AN235" s="164"/>
      <c r="AO235" s="164"/>
      <c r="AP235" s="164"/>
      <c r="AQ235" s="164"/>
      <c r="AR235" s="164"/>
      <c r="AS235" s="164"/>
      <c r="AT235" s="164"/>
      <c r="AU235" s="164"/>
      <c r="AV235" s="164"/>
      <c r="AW235" s="164"/>
      <c r="AX235" s="164"/>
      <c r="AY235" s="164"/>
      <c r="AZ235" s="164"/>
      <c r="BA235" s="164"/>
      <c r="BB235" s="164"/>
      <c r="BC235" s="164"/>
      <c r="BD235" s="164"/>
      <c r="BE235" s="164"/>
      <c r="BF235" s="164"/>
      <c r="BG235" s="164"/>
    </row>
    <row r="236" ht="15.75" customHeight="1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  <c r="AD236" s="164"/>
      <c r="AE236" s="164"/>
      <c r="AF236" s="164"/>
      <c r="AG236" s="164"/>
      <c r="AH236" s="164"/>
      <c r="AI236" s="164"/>
      <c r="AJ236" s="164"/>
      <c r="AK236" s="164"/>
      <c r="AL236" s="164"/>
      <c r="AM236" s="164"/>
      <c r="AN236" s="164"/>
      <c r="AO236" s="164"/>
      <c r="AP236" s="164"/>
      <c r="AQ236" s="164"/>
      <c r="AR236" s="164"/>
      <c r="AS236" s="164"/>
      <c r="AT236" s="164"/>
      <c r="AU236" s="164"/>
      <c r="AV236" s="164"/>
      <c r="AW236" s="164"/>
      <c r="AX236" s="164"/>
      <c r="AY236" s="164"/>
      <c r="AZ236" s="164"/>
      <c r="BA236" s="164"/>
      <c r="BB236" s="164"/>
      <c r="BC236" s="164"/>
      <c r="BD236" s="164"/>
      <c r="BE236" s="164"/>
      <c r="BF236" s="164"/>
      <c r="BG236" s="164"/>
    </row>
    <row r="237" ht="15.75" customHeight="1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  <c r="AD237" s="164"/>
      <c r="AE237" s="164"/>
      <c r="AF237" s="164"/>
      <c r="AG237" s="164"/>
      <c r="AH237" s="164"/>
      <c r="AI237" s="164"/>
      <c r="AJ237" s="164"/>
      <c r="AK237" s="164"/>
      <c r="AL237" s="164"/>
      <c r="AM237" s="164"/>
      <c r="AN237" s="164"/>
      <c r="AO237" s="164"/>
      <c r="AP237" s="164"/>
      <c r="AQ237" s="164"/>
      <c r="AR237" s="164"/>
      <c r="AS237" s="164"/>
      <c r="AT237" s="164"/>
      <c r="AU237" s="164"/>
      <c r="AV237" s="164"/>
      <c r="AW237" s="164"/>
      <c r="AX237" s="164"/>
      <c r="AY237" s="164"/>
      <c r="AZ237" s="164"/>
      <c r="BA237" s="164"/>
      <c r="BB237" s="164"/>
      <c r="BC237" s="164"/>
      <c r="BD237" s="164"/>
      <c r="BE237" s="164"/>
      <c r="BF237" s="164"/>
      <c r="BG237" s="164"/>
    </row>
    <row r="238" ht="15.75" customHeight="1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  <c r="AD238" s="164"/>
      <c r="AE238" s="164"/>
      <c r="AF238" s="164"/>
      <c r="AG238" s="164"/>
      <c r="AH238" s="164"/>
      <c r="AI238" s="164"/>
      <c r="AJ238" s="164"/>
      <c r="AK238" s="164"/>
      <c r="AL238" s="164"/>
      <c r="AM238" s="164"/>
      <c r="AN238" s="164"/>
      <c r="AO238" s="164"/>
      <c r="AP238" s="164"/>
      <c r="AQ238" s="164"/>
      <c r="AR238" s="164"/>
      <c r="AS238" s="164"/>
      <c r="AT238" s="164"/>
      <c r="AU238" s="164"/>
      <c r="AV238" s="164"/>
      <c r="AW238" s="164"/>
      <c r="AX238" s="164"/>
      <c r="AY238" s="164"/>
      <c r="AZ238" s="164"/>
      <c r="BA238" s="164"/>
      <c r="BB238" s="164"/>
      <c r="BC238" s="164"/>
      <c r="BD238" s="164"/>
      <c r="BE238" s="164"/>
      <c r="BF238" s="164"/>
      <c r="BG238" s="164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C$3:$S$38"/>
  <mergeCells count="12">
    <mergeCell ref="E2:H2"/>
    <mergeCell ref="I2:K2"/>
    <mergeCell ref="L2:M2"/>
    <mergeCell ref="N2:Q2"/>
    <mergeCell ref="C1:G1"/>
    <mergeCell ref="H1:K1"/>
    <mergeCell ref="L1:M1"/>
    <mergeCell ref="X1:AA2"/>
    <mergeCell ref="AV1:AY2"/>
    <mergeCell ref="C2:D2"/>
    <mergeCell ref="R2:S2"/>
    <mergeCell ref="N1:S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2.63"/>
    <col customWidth="1" min="2" max="2" width="17.75"/>
    <col customWidth="1" min="3" max="16" width="8.13"/>
    <col customWidth="1" min="17" max="18" width="8.75"/>
    <col customWidth="1" min="19" max="19" width="8.13"/>
    <col customWidth="1" min="20" max="26" width="10.38"/>
    <col customWidth="1" min="27" max="27" width="12.25"/>
    <col customWidth="1" min="28" max="28" width="10.75"/>
    <col customWidth="1" min="29" max="29" width="9.75"/>
    <col customWidth="1" min="30" max="32" width="8.13"/>
    <col customWidth="1" min="33" max="33" width="14.63"/>
    <col customWidth="1" hidden="1" min="34" max="49" width="8.13"/>
    <col customWidth="1" min="50" max="61" width="8.13"/>
  </cols>
  <sheetData>
    <row r="1" ht="29.25" customHeight="1">
      <c r="A1" s="51" t="s">
        <v>125</v>
      </c>
      <c r="B1" s="52"/>
      <c r="C1" s="53" t="s">
        <v>126</v>
      </c>
      <c r="D1" s="54"/>
      <c r="E1" s="54"/>
      <c r="F1" s="54"/>
      <c r="G1" s="55"/>
      <c r="H1" s="53" t="s">
        <v>127</v>
      </c>
      <c r="I1" s="54"/>
      <c r="J1" s="54"/>
      <c r="K1" s="55"/>
      <c r="L1" s="53" t="s">
        <v>128</v>
      </c>
      <c r="M1" s="55"/>
      <c r="N1" s="53" t="s">
        <v>129</v>
      </c>
      <c r="O1" s="54"/>
      <c r="P1" s="54"/>
      <c r="Q1" s="54"/>
      <c r="R1" s="54"/>
      <c r="S1" s="55"/>
      <c r="T1" s="56"/>
      <c r="U1" s="56"/>
      <c r="V1" s="56"/>
      <c r="W1" s="56"/>
      <c r="X1" s="56"/>
      <c r="Y1" s="56"/>
      <c r="Z1" s="57" t="s">
        <v>130</v>
      </c>
      <c r="AA1" s="58"/>
      <c r="AB1" s="58"/>
      <c r="AC1" s="59"/>
      <c r="AD1" s="60"/>
      <c r="AE1" s="60"/>
      <c r="AF1" s="61" t="s">
        <v>125</v>
      </c>
      <c r="AG1" s="62"/>
      <c r="AH1" s="63" t="s">
        <v>126</v>
      </c>
      <c r="AI1" s="63"/>
      <c r="AJ1" s="63"/>
      <c r="AK1" s="63"/>
      <c r="AL1" s="64"/>
      <c r="AM1" s="63" t="s">
        <v>127</v>
      </c>
      <c r="AN1" s="64"/>
      <c r="AO1" s="63" t="s">
        <v>128</v>
      </c>
      <c r="AP1" s="64"/>
      <c r="AQ1" s="63" t="s">
        <v>129</v>
      </c>
      <c r="AR1" s="63"/>
      <c r="AS1" s="63"/>
      <c r="AT1" s="63"/>
      <c r="AU1" s="63"/>
      <c r="AV1" s="63"/>
      <c r="AW1" s="63"/>
      <c r="AX1" s="65" t="s">
        <v>130</v>
      </c>
      <c r="AY1" s="58"/>
      <c r="AZ1" s="58"/>
      <c r="BA1" s="59"/>
      <c r="BB1" s="60"/>
      <c r="BC1" s="60"/>
      <c r="BD1" s="60"/>
      <c r="BE1" s="60"/>
      <c r="BF1" s="60"/>
      <c r="BG1" s="60"/>
      <c r="BH1" s="60"/>
      <c r="BI1" s="60"/>
    </row>
    <row r="2" ht="60.0" customHeight="1">
      <c r="A2" s="66"/>
      <c r="B2" s="52"/>
      <c r="C2" s="67" t="s">
        <v>131</v>
      </c>
      <c r="D2" s="55"/>
      <c r="E2" s="67" t="s">
        <v>132</v>
      </c>
      <c r="F2" s="54"/>
      <c r="G2" s="54"/>
      <c r="H2" s="55"/>
      <c r="I2" s="67" t="s">
        <v>133</v>
      </c>
      <c r="J2" s="54"/>
      <c r="K2" s="55"/>
      <c r="L2" s="67" t="s">
        <v>134</v>
      </c>
      <c r="M2" s="55"/>
      <c r="N2" s="67" t="s">
        <v>131</v>
      </c>
      <c r="O2" s="54"/>
      <c r="P2" s="54"/>
      <c r="Q2" s="55"/>
      <c r="R2" s="67" t="s">
        <v>132</v>
      </c>
      <c r="S2" s="55"/>
      <c r="T2" s="56"/>
      <c r="U2" s="56"/>
      <c r="V2" s="56"/>
      <c r="W2" s="56"/>
      <c r="X2" s="56"/>
      <c r="Y2" s="56"/>
      <c r="Z2" s="68"/>
      <c r="AA2" s="69"/>
      <c r="AB2" s="69"/>
      <c r="AC2" s="70"/>
      <c r="AD2" s="60"/>
      <c r="AE2" s="60"/>
      <c r="AF2" s="71"/>
      <c r="AG2" s="62"/>
      <c r="AH2" s="72" t="s">
        <v>135</v>
      </c>
      <c r="AI2" s="72"/>
      <c r="AJ2" s="73"/>
      <c r="AK2" s="72" t="s">
        <v>136</v>
      </c>
      <c r="AL2" s="73"/>
      <c r="AM2" s="72" t="s">
        <v>136</v>
      </c>
      <c r="AN2" s="73"/>
      <c r="AO2" s="72" t="s">
        <v>135</v>
      </c>
      <c r="AP2" s="73"/>
      <c r="AQ2" s="72" t="s">
        <v>135</v>
      </c>
      <c r="AR2" s="72"/>
      <c r="AS2" s="73"/>
      <c r="AT2" s="74"/>
      <c r="AU2" s="75" t="s">
        <v>136</v>
      </c>
      <c r="AV2" s="75"/>
      <c r="AW2" s="76"/>
      <c r="AX2" s="68"/>
      <c r="AY2" s="69"/>
      <c r="AZ2" s="69"/>
      <c r="BA2" s="70"/>
      <c r="BB2" s="60"/>
      <c r="BC2" s="60"/>
      <c r="BD2" s="60"/>
      <c r="BE2" s="60"/>
      <c r="BF2" s="60"/>
      <c r="BG2" s="60"/>
      <c r="BH2" s="60"/>
      <c r="BI2" s="60"/>
    </row>
    <row r="3" ht="183.75" customHeight="1">
      <c r="A3" s="66"/>
      <c r="B3" s="77" t="s">
        <v>35</v>
      </c>
      <c r="C3" s="78" t="s">
        <v>137</v>
      </c>
      <c r="D3" s="78" t="s">
        <v>138</v>
      </c>
      <c r="E3" s="78" t="s">
        <v>137</v>
      </c>
      <c r="F3" s="212" t="s">
        <v>139</v>
      </c>
      <c r="G3" s="79" t="s">
        <v>140</v>
      </c>
      <c r="H3" s="79" t="s">
        <v>141</v>
      </c>
      <c r="I3" s="79" t="s">
        <v>142</v>
      </c>
      <c r="J3" s="79" t="s">
        <v>143</v>
      </c>
      <c r="K3" s="79" t="s">
        <v>144</v>
      </c>
      <c r="L3" s="80" t="s">
        <v>145</v>
      </c>
      <c r="M3" s="81" t="s">
        <v>230</v>
      </c>
      <c r="N3" s="80" t="s">
        <v>147</v>
      </c>
      <c r="O3" s="80" t="s">
        <v>148</v>
      </c>
      <c r="P3" s="80" t="s">
        <v>149</v>
      </c>
      <c r="Q3" s="80" t="s">
        <v>150</v>
      </c>
      <c r="R3" s="80" t="s">
        <v>148</v>
      </c>
      <c r="S3" s="80" t="s">
        <v>150</v>
      </c>
      <c r="T3" s="82" t="s">
        <v>151</v>
      </c>
      <c r="U3" s="82" t="s">
        <v>152</v>
      </c>
      <c r="V3" s="82" t="s">
        <v>153</v>
      </c>
      <c r="W3" s="82" t="s">
        <v>154</v>
      </c>
      <c r="X3" s="83" t="s">
        <v>155</v>
      </c>
      <c r="Y3" s="83" t="s">
        <v>156</v>
      </c>
      <c r="Z3" s="84" t="s">
        <v>157</v>
      </c>
      <c r="AA3" s="84" t="s">
        <v>158</v>
      </c>
      <c r="AB3" s="84" t="s">
        <v>159</v>
      </c>
      <c r="AC3" s="84" t="s">
        <v>160</v>
      </c>
      <c r="AD3" s="85"/>
      <c r="AE3" s="85"/>
      <c r="AF3" s="71"/>
      <c r="AG3" s="86" t="s">
        <v>35</v>
      </c>
      <c r="AH3" s="87" t="s">
        <v>161</v>
      </c>
      <c r="AI3" s="87" t="s">
        <v>162</v>
      </c>
      <c r="AJ3" s="88" t="s">
        <v>163</v>
      </c>
      <c r="AK3" s="89" t="s">
        <v>164</v>
      </c>
      <c r="AL3" s="90" t="s">
        <v>165</v>
      </c>
      <c r="AM3" s="90" t="s">
        <v>141</v>
      </c>
      <c r="AN3" s="90" t="s">
        <v>166</v>
      </c>
      <c r="AO3" s="91" t="s">
        <v>145</v>
      </c>
      <c r="AP3" s="91" t="s">
        <v>167</v>
      </c>
      <c r="AQ3" s="90" t="s">
        <v>168</v>
      </c>
      <c r="AR3" s="90" t="s">
        <v>148</v>
      </c>
      <c r="AS3" s="90" t="s">
        <v>169</v>
      </c>
      <c r="AT3" s="90" t="s">
        <v>150</v>
      </c>
      <c r="AU3" s="90" t="s">
        <v>170</v>
      </c>
      <c r="AV3" s="90" t="s">
        <v>171</v>
      </c>
      <c r="AW3" s="92" t="s">
        <v>172</v>
      </c>
      <c r="AX3" s="93" t="s">
        <v>157</v>
      </c>
      <c r="AY3" s="93" t="s">
        <v>158</v>
      </c>
      <c r="AZ3" s="93" t="s">
        <v>159</v>
      </c>
      <c r="BA3" s="93" t="s">
        <v>160</v>
      </c>
      <c r="BB3" s="85"/>
      <c r="BC3" s="85"/>
      <c r="BD3" s="85"/>
      <c r="BE3" s="85"/>
      <c r="BF3" s="85"/>
      <c r="BG3" s="85"/>
      <c r="BH3" s="85"/>
      <c r="BI3" s="85"/>
    </row>
    <row r="4" ht="156.75" customHeight="1">
      <c r="A4" s="94"/>
      <c r="B4" s="95" t="s">
        <v>1</v>
      </c>
      <c r="C4" s="96" t="s">
        <v>231</v>
      </c>
      <c r="D4" s="96" t="s">
        <v>232</v>
      </c>
      <c r="E4" s="96" t="s">
        <v>233</v>
      </c>
      <c r="F4" s="213" t="s">
        <v>234</v>
      </c>
      <c r="G4" s="97" t="s">
        <v>235</v>
      </c>
      <c r="H4" s="97" t="s">
        <v>236</v>
      </c>
      <c r="I4" s="97" t="s">
        <v>237</v>
      </c>
      <c r="J4" s="97" t="s">
        <v>238</v>
      </c>
      <c r="K4" s="97" t="s">
        <v>239</v>
      </c>
      <c r="L4" s="98" t="s">
        <v>240</v>
      </c>
      <c r="M4" s="99" t="s">
        <v>241</v>
      </c>
      <c r="N4" s="96" t="s">
        <v>242</v>
      </c>
      <c r="O4" s="96" t="s">
        <v>243</v>
      </c>
      <c r="P4" s="96" t="s">
        <v>244</v>
      </c>
      <c r="Q4" s="96" t="s">
        <v>245</v>
      </c>
      <c r="R4" s="96" t="s">
        <v>246</v>
      </c>
      <c r="S4" s="96" t="s">
        <v>247</v>
      </c>
      <c r="T4" s="100"/>
      <c r="U4" s="100"/>
      <c r="V4" s="100"/>
      <c r="W4" s="100"/>
      <c r="X4" s="100"/>
      <c r="Y4" s="100"/>
      <c r="Z4" s="100"/>
      <c r="AA4" s="101"/>
      <c r="AB4" s="102"/>
      <c r="AC4" s="102"/>
      <c r="AD4" s="103"/>
      <c r="AE4" s="103"/>
      <c r="AF4" s="104"/>
      <c r="AG4" s="105" t="s">
        <v>1</v>
      </c>
      <c r="AH4" s="106" t="s">
        <v>189</v>
      </c>
      <c r="AI4" s="106" t="s">
        <v>189</v>
      </c>
      <c r="AJ4" s="107" t="s">
        <v>190</v>
      </c>
      <c r="AK4" s="107" t="s">
        <v>191</v>
      </c>
      <c r="AL4" s="107" t="s">
        <v>192</v>
      </c>
      <c r="AM4" s="107" t="s">
        <v>193</v>
      </c>
      <c r="AN4" s="107" t="s">
        <v>194</v>
      </c>
      <c r="AO4" s="108" t="s">
        <v>195</v>
      </c>
      <c r="AP4" s="109" t="s">
        <v>196</v>
      </c>
      <c r="AQ4" s="107" t="s">
        <v>197</v>
      </c>
      <c r="AR4" s="107" t="s">
        <v>198</v>
      </c>
      <c r="AS4" s="107" t="s">
        <v>199</v>
      </c>
      <c r="AT4" s="107" t="s">
        <v>189</v>
      </c>
      <c r="AU4" s="107" t="s">
        <v>200</v>
      </c>
      <c r="AV4" s="107" t="s">
        <v>201</v>
      </c>
      <c r="AW4" s="110" t="s">
        <v>202</v>
      </c>
      <c r="AX4" s="111"/>
      <c r="AY4" s="111"/>
      <c r="AZ4" s="111"/>
      <c r="BA4" s="111"/>
      <c r="BB4" s="103"/>
      <c r="BC4" s="103"/>
      <c r="BD4" s="103"/>
      <c r="BE4" s="103"/>
      <c r="BF4" s="103"/>
      <c r="BG4" s="103"/>
      <c r="BH4" s="103"/>
      <c r="BI4" s="103"/>
    </row>
    <row r="5" ht="15.75" customHeight="1">
      <c r="A5" s="112"/>
      <c r="B5" s="42" t="s">
        <v>203</v>
      </c>
      <c r="C5" s="113">
        <v>295.0</v>
      </c>
      <c r="D5" s="113">
        <v>1642.0</v>
      </c>
      <c r="E5" s="113" t="s">
        <v>229</v>
      </c>
      <c r="F5" s="214" t="s">
        <v>229</v>
      </c>
      <c r="G5" s="113" t="s">
        <v>204</v>
      </c>
      <c r="H5" s="113" t="s">
        <v>248</v>
      </c>
      <c r="I5" s="113">
        <v>6.0</v>
      </c>
      <c r="J5" s="113">
        <v>8.0</v>
      </c>
      <c r="K5" s="113">
        <v>0.0</v>
      </c>
      <c r="L5" s="113">
        <v>80169.0</v>
      </c>
      <c r="M5" s="113">
        <v>38102.0</v>
      </c>
      <c r="N5" s="113">
        <v>2434.0</v>
      </c>
      <c r="O5" s="113">
        <v>9987.0</v>
      </c>
      <c r="P5" s="113">
        <v>68288.0</v>
      </c>
      <c r="Q5" s="113">
        <v>2544.0</v>
      </c>
      <c r="R5" s="113" t="s">
        <v>229</v>
      </c>
      <c r="S5" s="113" t="s">
        <v>229</v>
      </c>
      <c r="T5" s="114"/>
      <c r="U5" s="114"/>
      <c r="V5" s="114"/>
      <c r="W5" s="114"/>
      <c r="X5" s="114"/>
      <c r="Y5" s="114"/>
      <c r="Z5" s="114">
        <f t="shared" ref="Z5:Z37" si="1">SUM(C5:K5)</f>
        <v>1951</v>
      </c>
      <c r="AA5" s="114">
        <f t="shared" ref="AA5:AA37" si="2">((L5+M5)-(SUM(N5:S5)))</f>
        <v>35018</v>
      </c>
      <c r="AB5" s="115">
        <f t="shared" ref="AB5:AB38" si="3">Z5/AA5</f>
        <v>0.05571420412</v>
      </c>
      <c r="AC5" s="115">
        <f t="shared" ref="AC5:AC38" si="4">100%-AB5</f>
        <v>0.9442857959</v>
      </c>
      <c r="AD5" s="116"/>
      <c r="AE5" s="116"/>
      <c r="AF5" s="117"/>
      <c r="AG5" s="118"/>
      <c r="AH5" s="119"/>
      <c r="AI5" s="119"/>
      <c r="AJ5" s="119"/>
      <c r="AK5" s="120"/>
      <c r="AL5" s="119"/>
      <c r="AM5" s="119"/>
      <c r="AN5" s="119"/>
      <c r="AO5" s="121"/>
      <c r="AP5" s="122"/>
      <c r="AQ5" s="119"/>
      <c r="AR5" s="119"/>
      <c r="AS5" s="119"/>
      <c r="AT5" s="119"/>
      <c r="AU5" s="119"/>
      <c r="AV5" s="119"/>
      <c r="AW5" s="120"/>
      <c r="AX5" s="120"/>
      <c r="AY5" s="120"/>
      <c r="AZ5" s="123"/>
      <c r="BA5" s="123"/>
      <c r="BB5" s="116"/>
      <c r="BC5" s="116"/>
      <c r="BD5" s="116"/>
      <c r="BE5" s="116"/>
      <c r="BF5" s="116"/>
      <c r="BG5" s="116"/>
      <c r="BH5" s="116"/>
      <c r="BI5" s="116"/>
    </row>
    <row r="6" ht="15.75" customHeight="1">
      <c r="A6" s="124"/>
      <c r="B6" s="38" t="s">
        <v>43</v>
      </c>
      <c r="C6" s="215">
        <v>5.0</v>
      </c>
      <c r="D6" s="215">
        <v>1755.0</v>
      </c>
      <c r="E6" s="215">
        <v>1.0</v>
      </c>
      <c r="F6" s="216"/>
      <c r="G6" s="217">
        <v>737.0</v>
      </c>
      <c r="H6" s="217">
        <v>765.0</v>
      </c>
      <c r="I6" s="218">
        <v>161.0</v>
      </c>
      <c r="J6" s="218">
        <v>49.0</v>
      </c>
      <c r="K6" s="218">
        <v>13.0</v>
      </c>
      <c r="L6" s="218">
        <v>36251.0</v>
      </c>
      <c r="M6" s="218">
        <v>37185.0</v>
      </c>
      <c r="N6" s="218">
        <v>68.0</v>
      </c>
      <c r="O6" s="218">
        <v>1244.0</v>
      </c>
      <c r="P6" s="219">
        <v>1486.0</v>
      </c>
      <c r="Q6" s="218">
        <v>213.0</v>
      </c>
      <c r="R6" s="218">
        <v>0.0</v>
      </c>
      <c r="S6" s="218">
        <v>0.0</v>
      </c>
      <c r="T6" s="130">
        <f t="shared" ref="T6:T37" si="5">C6+D6+E6+F6+G6</f>
        <v>2498</v>
      </c>
      <c r="U6" s="130">
        <f t="shared" ref="U6:U37" si="6">H6+I6+J6+K6</f>
        <v>988</v>
      </c>
      <c r="V6" s="130">
        <f t="shared" ref="V6:V37" si="7">L6+M6</f>
        <v>73436</v>
      </c>
      <c r="W6" s="130">
        <f t="shared" ref="W6:W37" si="8">N6+O6+P6+Q6+R6+S6</f>
        <v>3011</v>
      </c>
      <c r="X6" s="116">
        <f t="shared" ref="X6:X38" si="9">(T6+U6)/(V6-W6)</f>
        <v>0.04949946752</v>
      </c>
      <c r="Y6" s="116">
        <f t="shared" ref="Y6:Y38" si="10">1-X6</f>
        <v>0.9505005325</v>
      </c>
      <c r="Z6" s="114">
        <f t="shared" si="1"/>
        <v>3486</v>
      </c>
      <c r="AA6" s="114">
        <f t="shared" si="2"/>
        <v>70425</v>
      </c>
      <c r="AB6" s="115">
        <f t="shared" si="3"/>
        <v>0.04949946752</v>
      </c>
      <c r="AC6" s="115">
        <f t="shared" si="4"/>
        <v>0.9505005325</v>
      </c>
      <c r="AD6" s="116"/>
      <c r="AE6" s="116"/>
      <c r="AF6" s="117"/>
      <c r="AG6" s="118" t="s">
        <v>43</v>
      </c>
      <c r="AH6" s="119">
        <v>6.0</v>
      </c>
      <c r="AI6" s="119">
        <v>11.0</v>
      </c>
      <c r="AJ6" s="119">
        <v>469.0</v>
      </c>
      <c r="AK6" s="120">
        <v>0.0</v>
      </c>
      <c r="AL6" s="119">
        <v>70.0</v>
      </c>
      <c r="AM6" s="119">
        <v>262.0</v>
      </c>
      <c r="AN6" s="119">
        <v>4.0</v>
      </c>
      <c r="AO6" s="121">
        <v>40597.0</v>
      </c>
      <c r="AP6" s="131">
        <v>23591.0</v>
      </c>
      <c r="AQ6" s="119">
        <v>28.0</v>
      </c>
      <c r="AR6" s="119">
        <v>880.0</v>
      </c>
      <c r="AS6" s="119">
        <v>903.0</v>
      </c>
      <c r="AT6" s="119">
        <v>55.0</v>
      </c>
      <c r="AU6" s="119">
        <v>18.0</v>
      </c>
      <c r="AV6" s="119">
        <v>55.0</v>
      </c>
      <c r="AW6" s="120">
        <v>11.0</v>
      </c>
      <c r="AX6" s="120">
        <v>3819.0</v>
      </c>
      <c r="AY6" s="120">
        <v>77352.0</v>
      </c>
      <c r="AZ6" s="123">
        <v>0.04937170338194229</v>
      </c>
      <c r="BA6" s="123">
        <v>0.9506282966180577</v>
      </c>
      <c r="BB6" s="116"/>
      <c r="BC6" s="116"/>
      <c r="BD6" s="116"/>
      <c r="BE6" s="116"/>
      <c r="BF6" s="116"/>
      <c r="BG6" s="116"/>
      <c r="BH6" s="116"/>
      <c r="BI6" s="116"/>
    </row>
    <row r="7" ht="15.75" customHeight="1">
      <c r="A7" s="132"/>
      <c r="B7" s="38" t="s">
        <v>45</v>
      </c>
      <c r="C7" s="215">
        <v>24436.0</v>
      </c>
      <c r="D7" s="215">
        <v>10502.0</v>
      </c>
      <c r="E7" s="215">
        <v>3.0</v>
      </c>
      <c r="F7" s="216"/>
      <c r="G7" s="217">
        <v>60.0</v>
      </c>
      <c r="H7" s="217">
        <v>416.0</v>
      </c>
      <c r="I7" s="218">
        <v>72.0</v>
      </c>
      <c r="J7" s="218">
        <v>25.0</v>
      </c>
      <c r="K7" s="218">
        <v>0.0</v>
      </c>
      <c r="L7" s="218">
        <v>102894.0</v>
      </c>
      <c r="M7" s="218">
        <v>68414.0</v>
      </c>
      <c r="N7" s="218">
        <v>5014.0</v>
      </c>
      <c r="O7" s="218">
        <v>1272.0</v>
      </c>
      <c r="P7" s="219">
        <v>105850.0</v>
      </c>
      <c r="Q7" s="218">
        <v>972.0</v>
      </c>
      <c r="R7" s="218">
        <v>5.0</v>
      </c>
      <c r="S7" s="218">
        <v>274.0</v>
      </c>
      <c r="T7" s="130">
        <f t="shared" si="5"/>
        <v>35001</v>
      </c>
      <c r="U7" s="130">
        <f t="shared" si="6"/>
        <v>513</v>
      </c>
      <c r="V7" s="130">
        <f t="shared" si="7"/>
        <v>171308</v>
      </c>
      <c r="W7" s="130">
        <f t="shared" si="8"/>
        <v>113387</v>
      </c>
      <c r="X7" s="116">
        <f t="shared" si="9"/>
        <v>0.6131454913</v>
      </c>
      <c r="Y7" s="116">
        <f t="shared" si="10"/>
        <v>0.3868545087</v>
      </c>
      <c r="Z7" s="114">
        <f t="shared" si="1"/>
        <v>35514</v>
      </c>
      <c r="AA7" s="114">
        <f t="shared" si="2"/>
        <v>57921</v>
      </c>
      <c r="AB7" s="115">
        <f t="shared" si="3"/>
        <v>0.6131454913</v>
      </c>
      <c r="AC7" s="115">
        <f t="shared" si="4"/>
        <v>0.3868545087</v>
      </c>
      <c r="AD7" s="116"/>
      <c r="AE7" s="116"/>
      <c r="AF7" s="117"/>
      <c r="AG7" s="118" t="s">
        <v>45</v>
      </c>
      <c r="AH7" s="119">
        <v>13752.0</v>
      </c>
      <c r="AI7" s="119">
        <v>357.0</v>
      </c>
      <c r="AJ7" s="119">
        <v>3541.0</v>
      </c>
      <c r="AK7" s="120">
        <v>604.0</v>
      </c>
      <c r="AL7" s="119">
        <v>60.0</v>
      </c>
      <c r="AM7" s="119">
        <v>197.0</v>
      </c>
      <c r="AN7" s="119">
        <v>0.0</v>
      </c>
      <c r="AO7" s="121">
        <v>147385.0</v>
      </c>
      <c r="AP7" s="131">
        <v>81827.0</v>
      </c>
      <c r="AQ7" s="119">
        <v>1426.0</v>
      </c>
      <c r="AR7" s="119">
        <v>1057.0</v>
      </c>
      <c r="AS7" s="119">
        <v>20490.0</v>
      </c>
      <c r="AT7" s="119">
        <v>150.0</v>
      </c>
      <c r="AU7" s="119">
        <v>40.0</v>
      </c>
      <c r="AV7" s="119">
        <v>150.0</v>
      </c>
      <c r="AW7" s="120">
        <v>357.0</v>
      </c>
      <c r="AX7" s="120">
        <v>25481.0</v>
      </c>
      <c r="AY7" s="120">
        <v>421823.0</v>
      </c>
      <c r="AZ7" s="123">
        <v>0.0604068531113761</v>
      </c>
      <c r="BA7" s="123">
        <v>0.9395931468886239</v>
      </c>
      <c r="BB7" s="116"/>
      <c r="BC7" s="116"/>
      <c r="BD7" s="116"/>
      <c r="BE7" s="116"/>
      <c r="BF7" s="116"/>
      <c r="BG7" s="116"/>
      <c r="BH7" s="116"/>
      <c r="BI7" s="116"/>
    </row>
    <row r="8" ht="15.75" customHeight="1">
      <c r="A8" s="124"/>
      <c r="B8" s="38" t="s">
        <v>46</v>
      </c>
      <c r="C8" s="215">
        <v>949.0</v>
      </c>
      <c r="D8" s="215">
        <v>2636.0</v>
      </c>
      <c r="E8" s="215">
        <v>0.0</v>
      </c>
      <c r="F8" s="216"/>
      <c r="G8" s="217">
        <v>0.0</v>
      </c>
      <c r="H8" s="217">
        <v>17.0</v>
      </c>
      <c r="I8" s="218">
        <v>0.0</v>
      </c>
      <c r="J8" s="218">
        <v>0.0</v>
      </c>
      <c r="K8" s="218">
        <v>0.0</v>
      </c>
      <c r="L8" s="218">
        <v>20352.0</v>
      </c>
      <c r="M8" s="218">
        <v>74605.0</v>
      </c>
      <c r="N8" s="218">
        <v>405.0</v>
      </c>
      <c r="O8" s="218">
        <v>56.0</v>
      </c>
      <c r="P8" s="219">
        <v>1612.0</v>
      </c>
      <c r="Q8" s="218">
        <v>39.0</v>
      </c>
      <c r="R8" s="218">
        <v>0.0</v>
      </c>
      <c r="S8" s="218">
        <v>0.0</v>
      </c>
      <c r="T8" s="130">
        <f t="shared" si="5"/>
        <v>3585</v>
      </c>
      <c r="U8" s="130">
        <f t="shared" si="6"/>
        <v>17</v>
      </c>
      <c r="V8" s="130">
        <f t="shared" si="7"/>
        <v>94957</v>
      </c>
      <c r="W8" s="130">
        <f t="shared" si="8"/>
        <v>2112</v>
      </c>
      <c r="X8" s="116">
        <f t="shared" si="9"/>
        <v>0.03879584253</v>
      </c>
      <c r="Y8" s="116">
        <f t="shared" si="10"/>
        <v>0.9612041575</v>
      </c>
      <c r="Z8" s="114">
        <f t="shared" si="1"/>
        <v>3602</v>
      </c>
      <c r="AA8" s="114">
        <f t="shared" si="2"/>
        <v>92845</v>
      </c>
      <c r="AB8" s="115">
        <f t="shared" si="3"/>
        <v>0.03879584253</v>
      </c>
      <c r="AC8" s="115">
        <f t="shared" si="4"/>
        <v>0.9612041575</v>
      </c>
      <c r="AD8" s="116"/>
      <c r="AE8" s="116"/>
      <c r="AF8" s="117"/>
      <c r="AG8" s="118" t="s">
        <v>46</v>
      </c>
      <c r="AH8" s="119">
        <v>973.0</v>
      </c>
      <c r="AI8" s="119">
        <v>0.0</v>
      </c>
      <c r="AJ8" s="119">
        <v>713.0</v>
      </c>
      <c r="AK8" s="120">
        <v>0.0</v>
      </c>
      <c r="AL8" s="119">
        <v>5.0</v>
      </c>
      <c r="AM8" s="119">
        <v>19.0</v>
      </c>
      <c r="AN8" s="119">
        <v>3.0</v>
      </c>
      <c r="AO8" s="121">
        <v>22890.0</v>
      </c>
      <c r="AP8" s="131">
        <v>13043.0</v>
      </c>
      <c r="AQ8" s="119">
        <v>328.0</v>
      </c>
      <c r="AR8" s="119">
        <v>38.0</v>
      </c>
      <c r="AS8" s="119">
        <v>781.0</v>
      </c>
      <c r="AT8" s="119">
        <v>20.0</v>
      </c>
      <c r="AU8" s="119">
        <v>14.0</v>
      </c>
      <c r="AV8" s="119">
        <v>20.0</v>
      </c>
      <c r="AW8" s="120">
        <v>0.0</v>
      </c>
      <c r="AX8" s="120">
        <v>1599.0</v>
      </c>
      <c r="AY8" s="120">
        <v>98309.0</v>
      </c>
      <c r="AZ8" s="123">
        <v>0.016265041857815663</v>
      </c>
      <c r="BA8" s="123">
        <v>0.9837349581421844</v>
      </c>
      <c r="BB8" s="116"/>
      <c r="BC8" s="116"/>
      <c r="BD8" s="116"/>
      <c r="BE8" s="116"/>
      <c r="BF8" s="116"/>
      <c r="BG8" s="116"/>
      <c r="BH8" s="116"/>
      <c r="BI8" s="116"/>
    </row>
    <row r="9" ht="15.75" customHeight="1">
      <c r="A9" s="124"/>
      <c r="B9" s="38" t="s">
        <v>47</v>
      </c>
      <c r="C9" s="215">
        <v>32.0</v>
      </c>
      <c r="D9" s="215">
        <v>1275.0</v>
      </c>
      <c r="E9" s="215">
        <v>4.0</v>
      </c>
      <c r="F9" s="216"/>
      <c r="G9" s="217">
        <v>24.0</v>
      </c>
      <c r="H9" s="217">
        <v>3.0</v>
      </c>
      <c r="I9" s="218">
        <v>0.0</v>
      </c>
      <c r="J9" s="218">
        <v>0.0</v>
      </c>
      <c r="K9" s="218">
        <v>0.0</v>
      </c>
      <c r="L9" s="218">
        <v>22089.0</v>
      </c>
      <c r="M9" s="218">
        <v>3921.0</v>
      </c>
      <c r="N9" s="218">
        <v>73.0</v>
      </c>
      <c r="O9" s="218">
        <v>406.0</v>
      </c>
      <c r="P9" s="219">
        <v>378.0</v>
      </c>
      <c r="Q9" s="218">
        <v>23.0</v>
      </c>
      <c r="R9" s="218">
        <v>0.0</v>
      </c>
      <c r="S9" s="218">
        <v>5.0</v>
      </c>
      <c r="T9" s="130">
        <f t="shared" si="5"/>
        <v>1335</v>
      </c>
      <c r="U9" s="130">
        <f t="shared" si="6"/>
        <v>3</v>
      </c>
      <c r="V9" s="130">
        <f t="shared" si="7"/>
        <v>26010</v>
      </c>
      <c r="W9" s="130">
        <f t="shared" si="8"/>
        <v>885</v>
      </c>
      <c r="X9" s="116">
        <f t="shared" si="9"/>
        <v>0.05325373134</v>
      </c>
      <c r="Y9" s="116">
        <f t="shared" si="10"/>
        <v>0.9467462687</v>
      </c>
      <c r="Z9" s="114">
        <f t="shared" si="1"/>
        <v>1338</v>
      </c>
      <c r="AA9" s="114">
        <f t="shared" si="2"/>
        <v>25125</v>
      </c>
      <c r="AB9" s="115">
        <f t="shared" si="3"/>
        <v>0.05325373134</v>
      </c>
      <c r="AC9" s="115">
        <f t="shared" si="4"/>
        <v>0.9467462687</v>
      </c>
      <c r="AD9" s="116"/>
      <c r="AE9" s="116"/>
      <c r="AF9" s="117"/>
      <c r="AG9" s="118" t="s">
        <v>47</v>
      </c>
      <c r="AH9" s="119">
        <v>17.0</v>
      </c>
      <c r="AI9" s="119">
        <v>2662.0</v>
      </c>
      <c r="AJ9" s="119">
        <v>915.0</v>
      </c>
      <c r="AK9" s="120">
        <v>6.0</v>
      </c>
      <c r="AL9" s="119">
        <v>29.0</v>
      </c>
      <c r="AM9" s="119">
        <v>66.0</v>
      </c>
      <c r="AN9" s="119">
        <v>4.0</v>
      </c>
      <c r="AO9" s="121">
        <v>21962.0</v>
      </c>
      <c r="AP9" s="131">
        <v>21937.0</v>
      </c>
      <c r="AQ9" s="119">
        <v>69.0</v>
      </c>
      <c r="AR9" s="119">
        <v>1064.0</v>
      </c>
      <c r="AS9" s="119">
        <v>33.0</v>
      </c>
      <c r="AT9" s="119">
        <v>44.0</v>
      </c>
      <c r="AU9" s="119">
        <v>0.0</v>
      </c>
      <c r="AV9" s="119">
        <v>44.0</v>
      </c>
      <c r="AW9" s="120">
        <v>2662.0</v>
      </c>
      <c r="AX9" s="120">
        <v>770.0</v>
      </c>
      <c r="AY9" s="120">
        <v>38579.0</v>
      </c>
      <c r="AZ9" s="123">
        <v>0.019959045076336866</v>
      </c>
      <c r="BA9" s="123">
        <v>0.9800409549236632</v>
      </c>
      <c r="BB9" s="116"/>
      <c r="BC9" s="116"/>
      <c r="BD9" s="116"/>
      <c r="BE9" s="116"/>
      <c r="BF9" s="116"/>
      <c r="BG9" s="116"/>
      <c r="BH9" s="116"/>
      <c r="BI9" s="116"/>
    </row>
    <row r="10" ht="15.75" customHeight="1">
      <c r="A10" s="124"/>
      <c r="B10" s="38" t="s">
        <v>48</v>
      </c>
      <c r="C10" s="215">
        <v>0.0</v>
      </c>
      <c r="D10" s="215">
        <v>2378.0</v>
      </c>
      <c r="E10" s="215">
        <v>0.0</v>
      </c>
      <c r="F10" s="216"/>
      <c r="G10" s="217">
        <v>1633.0</v>
      </c>
      <c r="H10" s="217">
        <v>39.0</v>
      </c>
      <c r="I10" s="218">
        <v>6.0</v>
      </c>
      <c r="J10" s="218">
        <v>2.0</v>
      </c>
      <c r="K10" s="218">
        <v>0.0</v>
      </c>
      <c r="L10" s="218">
        <v>63469.0</v>
      </c>
      <c r="M10" s="218">
        <v>43693.0</v>
      </c>
      <c r="N10" s="218">
        <v>77.0</v>
      </c>
      <c r="O10" s="218">
        <v>14.0</v>
      </c>
      <c r="P10" s="219">
        <v>6516.0</v>
      </c>
      <c r="Q10" s="218">
        <v>105.0</v>
      </c>
      <c r="R10" s="218">
        <v>0.0</v>
      </c>
      <c r="S10" s="218">
        <v>0.0</v>
      </c>
      <c r="T10" s="130">
        <f t="shared" si="5"/>
        <v>4011</v>
      </c>
      <c r="U10" s="130">
        <f t="shared" si="6"/>
        <v>47</v>
      </c>
      <c r="V10" s="130">
        <f t="shared" si="7"/>
        <v>107162</v>
      </c>
      <c r="W10" s="130">
        <f t="shared" si="8"/>
        <v>6712</v>
      </c>
      <c r="X10" s="116">
        <f t="shared" si="9"/>
        <v>0.04039820806</v>
      </c>
      <c r="Y10" s="116">
        <f t="shared" si="10"/>
        <v>0.9596017919</v>
      </c>
      <c r="Z10" s="114">
        <f t="shared" si="1"/>
        <v>4058</v>
      </c>
      <c r="AA10" s="114">
        <f t="shared" si="2"/>
        <v>100450</v>
      </c>
      <c r="AB10" s="115">
        <f t="shared" si="3"/>
        <v>0.04039820806</v>
      </c>
      <c r="AC10" s="115">
        <f t="shared" si="4"/>
        <v>0.9596017919</v>
      </c>
      <c r="AD10" s="116"/>
      <c r="AE10" s="116"/>
      <c r="AF10" s="117"/>
      <c r="AG10" s="118" t="s">
        <v>48</v>
      </c>
      <c r="AH10" s="119">
        <v>407.0</v>
      </c>
      <c r="AI10" s="119">
        <v>0.0</v>
      </c>
      <c r="AJ10" s="119">
        <v>4849.0</v>
      </c>
      <c r="AK10" s="120">
        <v>11.0</v>
      </c>
      <c r="AL10" s="119">
        <v>4.0</v>
      </c>
      <c r="AM10" s="119">
        <v>396.0</v>
      </c>
      <c r="AN10" s="119">
        <v>41.0</v>
      </c>
      <c r="AO10" s="121">
        <v>13273.0</v>
      </c>
      <c r="AP10" s="131">
        <v>3013.0</v>
      </c>
      <c r="AQ10" s="119">
        <v>0.0</v>
      </c>
      <c r="AR10" s="119">
        <v>21.0</v>
      </c>
      <c r="AS10" s="119">
        <v>3707.0</v>
      </c>
      <c r="AT10" s="119">
        <v>28.0</v>
      </c>
      <c r="AU10" s="119">
        <v>0.0</v>
      </c>
      <c r="AV10" s="119">
        <v>28.0</v>
      </c>
      <c r="AW10" s="120">
        <v>0.0</v>
      </c>
      <c r="AX10" s="120">
        <v>5333.0</v>
      </c>
      <c r="AY10" s="120">
        <v>238678.0</v>
      </c>
      <c r="AZ10" s="123">
        <v>0.022343911043330344</v>
      </c>
      <c r="BA10" s="123">
        <v>0.9776560889566697</v>
      </c>
      <c r="BB10" s="116"/>
      <c r="BC10" s="116"/>
      <c r="BD10" s="116"/>
      <c r="BE10" s="116"/>
      <c r="BF10" s="116"/>
      <c r="BG10" s="116"/>
      <c r="BH10" s="116"/>
      <c r="BI10" s="116"/>
    </row>
    <row r="11" ht="15.75" customHeight="1">
      <c r="A11" s="132"/>
      <c r="B11" s="38" t="s">
        <v>49</v>
      </c>
      <c r="C11" s="215">
        <v>8.0</v>
      </c>
      <c r="D11" s="215">
        <v>1412.0</v>
      </c>
      <c r="E11" s="215">
        <v>0.0</v>
      </c>
      <c r="F11" s="216"/>
      <c r="G11" s="217"/>
      <c r="H11" s="217"/>
      <c r="I11" s="218"/>
      <c r="J11" s="218"/>
      <c r="K11" s="218"/>
      <c r="L11" s="218">
        <v>29982.0</v>
      </c>
      <c r="M11" s="218">
        <v>20450.0</v>
      </c>
      <c r="N11" s="218">
        <v>341.0</v>
      </c>
      <c r="O11" s="218">
        <v>362.0</v>
      </c>
      <c r="P11" s="219">
        <v>1605.0</v>
      </c>
      <c r="Q11" s="218">
        <v>492.0</v>
      </c>
      <c r="R11" s="218">
        <v>6.0</v>
      </c>
      <c r="S11" s="218">
        <v>2.0</v>
      </c>
      <c r="T11" s="130">
        <f t="shared" si="5"/>
        <v>1420</v>
      </c>
      <c r="U11" s="130">
        <f t="shared" si="6"/>
        <v>0</v>
      </c>
      <c r="V11" s="130">
        <f t="shared" si="7"/>
        <v>50432</v>
      </c>
      <c r="W11" s="130">
        <f t="shared" si="8"/>
        <v>2808</v>
      </c>
      <c r="X11" s="116">
        <f t="shared" si="9"/>
        <v>0.02981689904</v>
      </c>
      <c r="Y11" s="116">
        <f t="shared" si="10"/>
        <v>0.970183101</v>
      </c>
      <c r="Z11" s="114">
        <f t="shared" si="1"/>
        <v>1420</v>
      </c>
      <c r="AA11" s="114">
        <f t="shared" si="2"/>
        <v>47624</v>
      </c>
      <c r="AB11" s="115">
        <f t="shared" si="3"/>
        <v>0.02981689904</v>
      </c>
      <c r="AC11" s="115">
        <f t="shared" si="4"/>
        <v>0.970183101</v>
      </c>
      <c r="AD11" s="116"/>
      <c r="AE11" s="116"/>
      <c r="AF11" s="117"/>
      <c r="AG11" s="118" t="s">
        <v>49</v>
      </c>
      <c r="AH11" s="119">
        <v>169.0</v>
      </c>
      <c r="AI11" s="119">
        <v>0.0</v>
      </c>
      <c r="AJ11" s="119">
        <v>1147.0</v>
      </c>
      <c r="AK11" s="120">
        <v>134.0</v>
      </c>
      <c r="AL11" s="119">
        <v>135.0</v>
      </c>
      <c r="AM11" s="119">
        <v>302.0</v>
      </c>
      <c r="AN11" s="119">
        <v>8.0</v>
      </c>
      <c r="AO11" s="121">
        <v>73966.0</v>
      </c>
      <c r="AP11" s="131">
        <v>55569.0</v>
      </c>
      <c r="AQ11" s="119">
        <v>162.0</v>
      </c>
      <c r="AR11" s="119">
        <v>5002.0</v>
      </c>
      <c r="AS11" s="119">
        <v>3905.0</v>
      </c>
      <c r="AT11" s="119">
        <v>378.0</v>
      </c>
      <c r="AU11" s="119">
        <v>567.0</v>
      </c>
      <c r="AV11" s="119">
        <v>378.0</v>
      </c>
      <c r="AW11" s="120">
        <v>0.0</v>
      </c>
      <c r="AX11" s="120">
        <v>2057.0</v>
      </c>
      <c r="AY11" s="120">
        <v>48186.0</v>
      </c>
      <c r="AZ11" s="123">
        <v>0.04268874776906156</v>
      </c>
      <c r="BA11" s="123">
        <v>0.9573112522309385</v>
      </c>
      <c r="BB11" s="116"/>
      <c r="BC11" s="116"/>
      <c r="BD11" s="116"/>
      <c r="BE11" s="116"/>
      <c r="BF11" s="116"/>
      <c r="BG11" s="116"/>
      <c r="BH11" s="116"/>
      <c r="BI11" s="116"/>
    </row>
    <row r="12" ht="15.75" customHeight="1">
      <c r="A12" s="132"/>
      <c r="B12" s="38" t="s">
        <v>50</v>
      </c>
      <c r="C12" s="215">
        <v>1401.0</v>
      </c>
      <c r="D12" s="215">
        <v>2817.0</v>
      </c>
      <c r="E12" s="215">
        <v>0.0</v>
      </c>
      <c r="F12" s="216"/>
      <c r="G12" s="217">
        <v>11.0</v>
      </c>
      <c r="H12" s="217">
        <v>176.0</v>
      </c>
      <c r="I12" s="218">
        <v>164.0</v>
      </c>
      <c r="J12" s="218">
        <v>93.0</v>
      </c>
      <c r="K12" s="218">
        <v>0.0</v>
      </c>
      <c r="L12" s="218">
        <v>14238.0</v>
      </c>
      <c r="M12" s="218">
        <v>5672.0</v>
      </c>
      <c r="N12" s="218">
        <v>1596.0</v>
      </c>
      <c r="O12" s="218">
        <v>40.0</v>
      </c>
      <c r="P12" s="219">
        <v>4004.0</v>
      </c>
      <c r="Q12" s="218">
        <v>15.0</v>
      </c>
      <c r="R12" s="218">
        <v>0.0</v>
      </c>
      <c r="S12" s="218">
        <v>0.0</v>
      </c>
      <c r="T12" s="130">
        <f t="shared" si="5"/>
        <v>4229</v>
      </c>
      <c r="U12" s="130">
        <f t="shared" si="6"/>
        <v>433</v>
      </c>
      <c r="V12" s="130">
        <f t="shared" si="7"/>
        <v>19910</v>
      </c>
      <c r="W12" s="130">
        <f t="shared" si="8"/>
        <v>5655</v>
      </c>
      <c r="X12" s="116">
        <f t="shared" si="9"/>
        <v>0.3270431428</v>
      </c>
      <c r="Y12" s="116">
        <f t="shared" si="10"/>
        <v>0.6729568572</v>
      </c>
      <c r="Z12" s="114">
        <f t="shared" si="1"/>
        <v>4662</v>
      </c>
      <c r="AA12" s="114">
        <f t="shared" si="2"/>
        <v>14255</v>
      </c>
      <c r="AB12" s="115">
        <f t="shared" si="3"/>
        <v>0.3270431428</v>
      </c>
      <c r="AC12" s="115">
        <f t="shared" si="4"/>
        <v>0.6729568572</v>
      </c>
      <c r="AD12" s="116"/>
      <c r="AE12" s="116"/>
      <c r="AF12" s="117"/>
      <c r="AG12" s="118" t="s">
        <v>50</v>
      </c>
      <c r="AH12" s="119">
        <v>226.0</v>
      </c>
      <c r="AI12" s="119">
        <v>860.0</v>
      </c>
      <c r="AJ12" s="119">
        <v>514.0</v>
      </c>
      <c r="AK12" s="120">
        <v>31.0</v>
      </c>
      <c r="AL12" s="119">
        <v>3001.0</v>
      </c>
      <c r="AM12" s="119">
        <v>1982.0</v>
      </c>
      <c r="AN12" s="119">
        <v>559.0</v>
      </c>
      <c r="AO12" s="121">
        <v>242392.0</v>
      </c>
      <c r="AP12" s="131">
        <v>220608.0</v>
      </c>
      <c r="AQ12" s="119">
        <v>490.0</v>
      </c>
      <c r="AR12" s="119">
        <v>45067.0</v>
      </c>
      <c r="AS12" s="119">
        <v>6616.0</v>
      </c>
      <c r="AT12" s="119">
        <v>609.0</v>
      </c>
      <c r="AU12" s="119">
        <v>242.0</v>
      </c>
      <c r="AV12" s="119">
        <v>609.0</v>
      </c>
      <c r="AW12" s="120">
        <v>860.0</v>
      </c>
      <c r="AX12" s="135"/>
      <c r="AY12" s="135"/>
      <c r="AZ12" s="136"/>
      <c r="BA12" s="136"/>
      <c r="BB12" s="116"/>
      <c r="BC12" s="116"/>
      <c r="BD12" s="116"/>
      <c r="BE12" s="116"/>
      <c r="BF12" s="116"/>
      <c r="BG12" s="116"/>
      <c r="BH12" s="116"/>
      <c r="BI12" s="116"/>
    </row>
    <row r="13" ht="15.75" customHeight="1">
      <c r="A13" s="124"/>
      <c r="B13" s="38" t="s">
        <v>51</v>
      </c>
      <c r="C13" s="215">
        <v>304.0</v>
      </c>
      <c r="D13" s="215">
        <v>4604.0</v>
      </c>
      <c r="E13" s="215">
        <v>320.0</v>
      </c>
      <c r="F13" s="216"/>
      <c r="G13" s="217">
        <v>3322.0</v>
      </c>
      <c r="H13" s="217">
        <v>2143.0</v>
      </c>
      <c r="I13" s="218">
        <v>390.0</v>
      </c>
      <c r="J13" s="218">
        <v>146.0</v>
      </c>
      <c r="K13" s="218">
        <v>40.0</v>
      </c>
      <c r="L13" s="218">
        <v>68632.0</v>
      </c>
      <c r="M13" s="218">
        <v>58509.0</v>
      </c>
      <c r="N13" s="218">
        <v>296.0</v>
      </c>
      <c r="O13" s="218">
        <v>63.0</v>
      </c>
      <c r="P13" s="219">
        <v>4777.0</v>
      </c>
      <c r="Q13" s="218">
        <v>0.0</v>
      </c>
      <c r="R13" s="218"/>
      <c r="S13" s="218"/>
      <c r="T13" s="130">
        <f t="shared" si="5"/>
        <v>8550</v>
      </c>
      <c r="U13" s="130">
        <f t="shared" si="6"/>
        <v>2719</v>
      </c>
      <c r="V13" s="130">
        <f t="shared" si="7"/>
        <v>127141</v>
      </c>
      <c r="W13" s="130">
        <f t="shared" si="8"/>
        <v>5136</v>
      </c>
      <c r="X13" s="116">
        <f t="shared" si="9"/>
        <v>0.09236506701</v>
      </c>
      <c r="Y13" s="116">
        <f t="shared" si="10"/>
        <v>0.907634933</v>
      </c>
      <c r="Z13" s="114">
        <f t="shared" si="1"/>
        <v>11269</v>
      </c>
      <c r="AA13" s="114">
        <f t="shared" si="2"/>
        <v>122005</v>
      </c>
      <c r="AB13" s="115">
        <f t="shared" si="3"/>
        <v>0.09236506701</v>
      </c>
      <c r="AC13" s="115">
        <f t="shared" si="4"/>
        <v>0.907634933</v>
      </c>
      <c r="AD13" s="116"/>
      <c r="AE13" s="116"/>
      <c r="AF13" s="117"/>
      <c r="AG13" s="118" t="s">
        <v>51</v>
      </c>
      <c r="AH13" s="119">
        <v>0.0</v>
      </c>
      <c r="AI13" s="119">
        <v>0.0</v>
      </c>
      <c r="AJ13" s="119">
        <v>3351.0</v>
      </c>
      <c r="AK13" s="120">
        <v>35.0</v>
      </c>
      <c r="AL13" s="119">
        <v>582.0</v>
      </c>
      <c r="AM13" s="119">
        <v>259.0</v>
      </c>
      <c r="AN13" s="119">
        <v>6.0</v>
      </c>
      <c r="AO13" s="121">
        <v>59720.0</v>
      </c>
      <c r="AP13" s="131">
        <v>37363.0</v>
      </c>
      <c r="AQ13" s="119">
        <v>40.0</v>
      </c>
      <c r="AR13" s="119">
        <v>7.0</v>
      </c>
      <c r="AS13" s="119">
        <v>6388.0</v>
      </c>
      <c r="AT13" s="119">
        <v>978.0</v>
      </c>
      <c r="AU13" s="119">
        <v>27.0</v>
      </c>
      <c r="AV13" s="119">
        <v>978.0</v>
      </c>
      <c r="AW13" s="120">
        <v>0.0</v>
      </c>
      <c r="AX13" s="120">
        <v>2678.0</v>
      </c>
      <c r="AY13" s="120">
        <v>125683.0</v>
      </c>
      <c r="AZ13" s="123">
        <v>0.021307575407970847</v>
      </c>
      <c r="BA13" s="123">
        <v>0.9786924245920292</v>
      </c>
      <c r="BB13" s="116"/>
      <c r="BC13" s="116"/>
      <c r="BD13" s="116"/>
      <c r="BE13" s="116"/>
      <c r="BF13" s="116"/>
      <c r="BG13" s="116"/>
      <c r="BH13" s="116"/>
      <c r="BI13" s="116"/>
    </row>
    <row r="14" ht="15.75" customHeight="1">
      <c r="A14" s="124"/>
      <c r="B14" s="38" t="s">
        <v>52</v>
      </c>
      <c r="C14" s="215">
        <v>203.0</v>
      </c>
      <c r="D14" s="215">
        <v>2268.0</v>
      </c>
      <c r="E14" s="215">
        <v>12.0</v>
      </c>
      <c r="F14" s="216"/>
      <c r="G14" s="217">
        <v>6073.0</v>
      </c>
      <c r="H14" s="217">
        <v>7864.0</v>
      </c>
      <c r="I14" s="218">
        <v>1129.0</v>
      </c>
      <c r="J14" s="218">
        <v>333.0</v>
      </c>
      <c r="K14" s="218">
        <v>0.0</v>
      </c>
      <c r="L14" s="218">
        <v>230421.0</v>
      </c>
      <c r="M14" s="218">
        <v>216651.0</v>
      </c>
      <c r="N14" s="218">
        <v>911.0</v>
      </c>
      <c r="O14" s="218">
        <v>35281.0</v>
      </c>
      <c r="P14" s="219">
        <v>16541.0</v>
      </c>
      <c r="Q14" s="218">
        <v>740.0</v>
      </c>
      <c r="R14" s="218">
        <v>1823.0</v>
      </c>
      <c r="S14" s="218">
        <v>117.0</v>
      </c>
      <c r="T14" s="130">
        <f t="shared" si="5"/>
        <v>8556</v>
      </c>
      <c r="U14" s="130">
        <f t="shared" si="6"/>
        <v>9326</v>
      </c>
      <c r="V14" s="130">
        <f t="shared" si="7"/>
        <v>447072</v>
      </c>
      <c r="W14" s="130">
        <f t="shared" si="8"/>
        <v>55413</v>
      </c>
      <c r="X14" s="116">
        <f t="shared" si="9"/>
        <v>0.04565706393</v>
      </c>
      <c r="Y14" s="116">
        <f t="shared" si="10"/>
        <v>0.9543429361</v>
      </c>
      <c r="Z14" s="114">
        <f t="shared" si="1"/>
        <v>17882</v>
      </c>
      <c r="AA14" s="114">
        <f t="shared" si="2"/>
        <v>391659</v>
      </c>
      <c r="AB14" s="115">
        <f t="shared" si="3"/>
        <v>0.04565706393</v>
      </c>
      <c r="AC14" s="115">
        <f t="shared" si="4"/>
        <v>0.9543429361</v>
      </c>
      <c r="AD14" s="116"/>
      <c r="AE14" s="116"/>
      <c r="AF14" s="117"/>
      <c r="AG14" s="118" t="s">
        <v>52</v>
      </c>
      <c r="AH14" s="119">
        <v>18.0</v>
      </c>
      <c r="AI14" s="119">
        <v>1183.0</v>
      </c>
      <c r="AJ14" s="119">
        <v>1326.0</v>
      </c>
      <c r="AK14" s="120">
        <v>0.0</v>
      </c>
      <c r="AL14" s="119">
        <v>15.0</v>
      </c>
      <c r="AM14" s="119">
        <v>132.0</v>
      </c>
      <c r="AN14" s="119">
        <v>36.0</v>
      </c>
      <c r="AO14" s="121">
        <v>31011.0</v>
      </c>
      <c r="AP14" s="131">
        <v>21424.0</v>
      </c>
      <c r="AQ14" s="119">
        <v>324.0</v>
      </c>
      <c r="AR14" s="119">
        <v>1543.0</v>
      </c>
      <c r="AS14" s="119">
        <v>604.0</v>
      </c>
      <c r="AT14" s="119">
        <v>115.0</v>
      </c>
      <c r="AU14" s="119">
        <v>23.0</v>
      </c>
      <c r="AV14" s="119">
        <v>115.0</v>
      </c>
      <c r="AW14" s="120">
        <v>1183.0</v>
      </c>
      <c r="AX14" s="120">
        <v>2470.0</v>
      </c>
      <c r="AY14" s="120">
        <v>425733.0</v>
      </c>
      <c r="AZ14" s="123">
        <v>0.005801758379077967</v>
      </c>
      <c r="BA14" s="123">
        <v>0.9941982416209221</v>
      </c>
      <c r="BB14" s="116"/>
      <c r="BC14" s="116"/>
      <c r="BD14" s="116"/>
      <c r="BE14" s="116"/>
      <c r="BF14" s="116"/>
      <c r="BG14" s="116"/>
      <c r="BH14" s="116"/>
      <c r="BI14" s="116"/>
    </row>
    <row r="15" ht="15.75" customHeight="1">
      <c r="A15" s="124"/>
      <c r="B15" s="38" t="s">
        <v>53</v>
      </c>
      <c r="C15" s="215">
        <v>0.0</v>
      </c>
      <c r="D15" s="215">
        <v>1510.0</v>
      </c>
      <c r="E15" s="215">
        <v>0.0</v>
      </c>
      <c r="F15" s="216"/>
      <c r="G15" s="217">
        <v>405.0</v>
      </c>
      <c r="H15" s="217">
        <v>260.0</v>
      </c>
      <c r="I15" s="218">
        <v>11.0</v>
      </c>
      <c r="J15" s="218">
        <v>8.0</v>
      </c>
      <c r="K15" s="218">
        <v>0.0</v>
      </c>
      <c r="L15" s="218">
        <v>25934.0</v>
      </c>
      <c r="M15" s="218">
        <v>23420.0</v>
      </c>
      <c r="N15" s="218">
        <v>0.0</v>
      </c>
      <c r="O15" s="218">
        <v>223.0</v>
      </c>
      <c r="P15" s="219">
        <v>1709.0</v>
      </c>
      <c r="Q15" s="218">
        <v>0.0</v>
      </c>
      <c r="R15" s="218">
        <v>0.0</v>
      </c>
      <c r="S15" s="218">
        <v>0.0</v>
      </c>
      <c r="T15" s="130">
        <f t="shared" si="5"/>
        <v>1915</v>
      </c>
      <c r="U15" s="130">
        <f t="shared" si="6"/>
        <v>279</v>
      </c>
      <c r="V15" s="130">
        <f t="shared" si="7"/>
        <v>49354</v>
      </c>
      <c r="W15" s="130">
        <f t="shared" si="8"/>
        <v>1932</v>
      </c>
      <c r="X15" s="116">
        <f t="shared" si="9"/>
        <v>0.04626544642</v>
      </c>
      <c r="Y15" s="116">
        <f t="shared" si="10"/>
        <v>0.9537345536</v>
      </c>
      <c r="Z15" s="114">
        <f t="shared" si="1"/>
        <v>2194</v>
      </c>
      <c r="AA15" s="114">
        <f t="shared" si="2"/>
        <v>47422</v>
      </c>
      <c r="AB15" s="115">
        <f t="shared" si="3"/>
        <v>0.04626544642</v>
      </c>
      <c r="AC15" s="115">
        <f t="shared" si="4"/>
        <v>0.9537345536</v>
      </c>
      <c r="AD15" s="116"/>
      <c r="AE15" s="116"/>
      <c r="AF15" s="117"/>
      <c r="AG15" s="118" t="s">
        <v>53</v>
      </c>
      <c r="AH15" s="119">
        <v>0.0</v>
      </c>
      <c r="AI15" s="119">
        <v>2092.0</v>
      </c>
      <c r="AJ15" s="119">
        <v>647.0</v>
      </c>
      <c r="AK15" s="120">
        <v>167.0</v>
      </c>
      <c r="AL15" s="119">
        <v>172.0</v>
      </c>
      <c r="AM15" s="119">
        <v>162.0</v>
      </c>
      <c r="AN15" s="119">
        <v>17.0</v>
      </c>
      <c r="AO15" s="121">
        <v>22205.0</v>
      </c>
      <c r="AP15" s="131">
        <v>15763.0</v>
      </c>
      <c r="AQ15" s="119">
        <v>52.0</v>
      </c>
      <c r="AR15" s="119">
        <v>93.0</v>
      </c>
      <c r="AS15" s="119">
        <v>652.0</v>
      </c>
      <c r="AT15" s="119">
        <v>94.0</v>
      </c>
      <c r="AU15" s="119">
        <v>88.0</v>
      </c>
      <c r="AV15" s="119">
        <v>94.0</v>
      </c>
      <c r="AW15" s="120">
        <v>2092.0</v>
      </c>
      <c r="AX15" s="120">
        <v>1978.0</v>
      </c>
      <c r="AY15" s="120">
        <v>38295.0</v>
      </c>
      <c r="AZ15" s="123">
        <v>0.05165165165165165</v>
      </c>
      <c r="BA15" s="123">
        <v>0.9483483483483484</v>
      </c>
      <c r="BB15" s="116"/>
      <c r="BC15" s="116"/>
      <c r="BD15" s="116"/>
      <c r="BE15" s="116"/>
      <c r="BF15" s="116"/>
      <c r="BG15" s="116"/>
      <c r="BH15" s="116"/>
      <c r="BI15" s="116"/>
    </row>
    <row r="16" ht="15.75" customHeight="1">
      <c r="A16" s="124"/>
      <c r="B16" s="38" t="s">
        <v>54</v>
      </c>
      <c r="C16" s="220"/>
      <c r="D16" s="215">
        <v>12372.0</v>
      </c>
      <c r="E16" s="220"/>
      <c r="F16" s="221"/>
      <c r="G16" s="217">
        <v>15.0</v>
      </c>
      <c r="H16" s="217">
        <v>536.0</v>
      </c>
      <c r="I16" s="218">
        <v>36.0</v>
      </c>
      <c r="J16" s="218">
        <v>9.0</v>
      </c>
      <c r="K16" s="218">
        <v>0.0</v>
      </c>
      <c r="L16" s="218">
        <v>134805.0</v>
      </c>
      <c r="M16" s="218">
        <v>62115.0</v>
      </c>
      <c r="N16" s="218">
        <v>1978.0</v>
      </c>
      <c r="O16" s="218">
        <v>1597.0</v>
      </c>
      <c r="P16" s="219">
        <v>60533.0</v>
      </c>
      <c r="Q16" s="218">
        <v>1370.0</v>
      </c>
      <c r="R16" s="218">
        <v>17.0</v>
      </c>
      <c r="S16" s="218">
        <v>231.0</v>
      </c>
      <c r="T16" s="130">
        <f t="shared" si="5"/>
        <v>12387</v>
      </c>
      <c r="U16" s="130">
        <f t="shared" si="6"/>
        <v>581</v>
      </c>
      <c r="V16" s="130">
        <f t="shared" si="7"/>
        <v>196920</v>
      </c>
      <c r="W16" s="130">
        <f t="shared" si="8"/>
        <v>65726</v>
      </c>
      <c r="X16" s="116">
        <f t="shared" si="9"/>
        <v>0.09884598381</v>
      </c>
      <c r="Y16" s="116">
        <f t="shared" si="10"/>
        <v>0.9011540162</v>
      </c>
      <c r="Z16" s="114">
        <f t="shared" si="1"/>
        <v>12968</v>
      </c>
      <c r="AA16" s="114">
        <f t="shared" si="2"/>
        <v>131194</v>
      </c>
      <c r="AB16" s="115">
        <f t="shared" si="3"/>
        <v>0.09884598381</v>
      </c>
      <c r="AC16" s="115">
        <f t="shared" si="4"/>
        <v>0.9011540162</v>
      </c>
      <c r="AD16" s="116"/>
      <c r="AE16" s="116"/>
      <c r="AF16" s="117"/>
      <c r="AG16" s="118" t="s">
        <v>54</v>
      </c>
      <c r="AH16" s="119">
        <v>10996.0</v>
      </c>
      <c r="AI16" s="119">
        <v>12.0</v>
      </c>
      <c r="AJ16" s="119">
        <v>2863.0</v>
      </c>
      <c r="AK16" s="120">
        <v>0.0</v>
      </c>
      <c r="AL16" s="119">
        <v>45.0</v>
      </c>
      <c r="AM16" s="119">
        <v>972.0</v>
      </c>
      <c r="AN16" s="119">
        <v>255.0</v>
      </c>
      <c r="AO16" s="121">
        <v>359304.0</v>
      </c>
      <c r="AP16" s="131">
        <v>78524.0</v>
      </c>
      <c r="AQ16" s="119">
        <v>10997.0</v>
      </c>
      <c r="AR16" s="119">
        <v>15631.0</v>
      </c>
      <c r="AS16" s="119">
        <v>21405.0</v>
      </c>
      <c r="AT16" s="119">
        <v>23.0</v>
      </c>
      <c r="AU16" s="119">
        <v>69.0</v>
      </c>
      <c r="AV16" s="119">
        <v>23.0</v>
      </c>
      <c r="AW16" s="120">
        <v>12.0</v>
      </c>
      <c r="AX16" s="120">
        <v>1558.0</v>
      </c>
      <c r="AY16" s="120">
        <v>139822.0</v>
      </c>
      <c r="AZ16" s="123">
        <v>0.01114273862482299</v>
      </c>
      <c r="BA16" s="123">
        <v>0.988857261375177</v>
      </c>
      <c r="BB16" s="116"/>
      <c r="BC16" s="116"/>
      <c r="BD16" s="116"/>
      <c r="BE16" s="116"/>
      <c r="BF16" s="116"/>
      <c r="BG16" s="116"/>
      <c r="BH16" s="116"/>
      <c r="BI16" s="116"/>
    </row>
    <row r="17" ht="15.75" customHeight="1">
      <c r="A17" s="124"/>
      <c r="B17" s="38" t="s">
        <v>55</v>
      </c>
      <c r="C17" s="215">
        <v>47.0</v>
      </c>
      <c r="D17" s="215">
        <v>1607.0</v>
      </c>
      <c r="E17" s="215">
        <v>1.0</v>
      </c>
      <c r="F17" s="216"/>
      <c r="G17" s="217">
        <v>10.0</v>
      </c>
      <c r="H17" s="217">
        <v>35.0</v>
      </c>
      <c r="I17" s="218">
        <v>29.0</v>
      </c>
      <c r="J17" s="218">
        <v>23.0</v>
      </c>
      <c r="K17" s="218">
        <v>0.0</v>
      </c>
      <c r="L17" s="218">
        <v>25759.0</v>
      </c>
      <c r="M17" s="218">
        <v>61458.0</v>
      </c>
      <c r="N17" s="218">
        <v>335.0</v>
      </c>
      <c r="O17" s="218">
        <v>460.0</v>
      </c>
      <c r="P17" s="219">
        <v>4398.0</v>
      </c>
      <c r="Q17" s="218">
        <v>4.0</v>
      </c>
      <c r="R17" s="218">
        <v>4.0</v>
      </c>
      <c r="S17" s="218">
        <v>1.0</v>
      </c>
      <c r="T17" s="130">
        <f t="shared" si="5"/>
        <v>1665</v>
      </c>
      <c r="U17" s="130">
        <f t="shared" si="6"/>
        <v>87</v>
      </c>
      <c r="V17" s="130">
        <f t="shared" si="7"/>
        <v>87217</v>
      </c>
      <c r="W17" s="130">
        <f t="shared" si="8"/>
        <v>5202</v>
      </c>
      <c r="X17" s="116">
        <f t="shared" si="9"/>
        <v>0.02136194599</v>
      </c>
      <c r="Y17" s="116">
        <f t="shared" si="10"/>
        <v>0.978638054</v>
      </c>
      <c r="Z17" s="114">
        <f t="shared" si="1"/>
        <v>1752</v>
      </c>
      <c r="AA17" s="114">
        <f t="shared" si="2"/>
        <v>82015</v>
      </c>
      <c r="AB17" s="115">
        <f t="shared" si="3"/>
        <v>0.02136194599</v>
      </c>
      <c r="AC17" s="115">
        <f t="shared" si="4"/>
        <v>0.978638054</v>
      </c>
      <c r="AD17" s="116"/>
      <c r="AE17" s="116"/>
      <c r="AF17" s="117"/>
      <c r="AG17" s="118" t="s">
        <v>55</v>
      </c>
      <c r="AH17" s="119">
        <v>0.0</v>
      </c>
      <c r="AI17" s="119">
        <v>1.0</v>
      </c>
      <c r="AJ17" s="119">
        <v>15512.0</v>
      </c>
      <c r="AK17" s="120">
        <v>114.0</v>
      </c>
      <c r="AL17" s="119">
        <v>294.0</v>
      </c>
      <c r="AM17" s="119">
        <v>224.0</v>
      </c>
      <c r="AN17" s="119">
        <v>0.0</v>
      </c>
      <c r="AO17" s="121">
        <v>141751.0</v>
      </c>
      <c r="AP17" s="131">
        <v>22627.0</v>
      </c>
      <c r="AQ17" s="119">
        <v>4389.0</v>
      </c>
      <c r="AR17" s="119">
        <v>1343.0</v>
      </c>
      <c r="AS17" s="119">
        <v>62571.0</v>
      </c>
      <c r="AT17" s="119">
        <v>695.0</v>
      </c>
      <c r="AU17" s="119">
        <v>916.0</v>
      </c>
      <c r="AV17" s="119">
        <v>695.0</v>
      </c>
      <c r="AW17" s="120">
        <v>1.0</v>
      </c>
      <c r="AX17" s="120">
        <v>1659.0</v>
      </c>
      <c r="AY17" s="120">
        <v>136203.0</v>
      </c>
      <c r="AZ17" s="123">
        <v>0.01218034845047466</v>
      </c>
      <c r="BA17" s="123">
        <v>0.9878196515495253</v>
      </c>
      <c r="BB17" s="116"/>
      <c r="BC17" s="116"/>
      <c r="BD17" s="116"/>
      <c r="BE17" s="116"/>
      <c r="BF17" s="116"/>
      <c r="BG17" s="116"/>
      <c r="BH17" s="116"/>
      <c r="BI17" s="116"/>
    </row>
    <row r="18" ht="15.75" customHeight="1">
      <c r="A18" s="124"/>
      <c r="B18" s="38" t="s">
        <v>56</v>
      </c>
      <c r="C18" s="215">
        <v>4.0</v>
      </c>
      <c r="D18" s="215">
        <v>3411.0</v>
      </c>
      <c r="E18" s="215">
        <v>1.0</v>
      </c>
      <c r="F18" s="216"/>
      <c r="G18" s="217">
        <v>534.0</v>
      </c>
      <c r="H18" s="217">
        <v>170.0</v>
      </c>
      <c r="I18" s="218">
        <v>260.0</v>
      </c>
      <c r="J18" s="218">
        <v>84.0</v>
      </c>
      <c r="K18" s="218">
        <v>0.0</v>
      </c>
      <c r="L18" s="218">
        <v>48678.0</v>
      </c>
      <c r="M18" s="218">
        <v>162599.0</v>
      </c>
      <c r="N18" s="218">
        <v>6.0</v>
      </c>
      <c r="O18" s="218">
        <v>936.0</v>
      </c>
      <c r="P18" s="219">
        <v>5041.0</v>
      </c>
      <c r="Q18" s="218">
        <v>271.0</v>
      </c>
      <c r="R18" s="218">
        <v>900.0</v>
      </c>
      <c r="S18" s="218">
        <v>269.0</v>
      </c>
      <c r="T18" s="130">
        <f t="shared" si="5"/>
        <v>3950</v>
      </c>
      <c r="U18" s="130">
        <f t="shared" si="6"/>
        <v>514</v>
      </c>
      <c r="V18" s="130">
        <f t="shared" si="7"/>
        <v>211277</v>
      </c>
      <c r="W18" s="130">
        <f t="shared" si="8"/>
        <v>7423</v>
      </c>
      <c r="X18" s="116">
        <f t="shared" si="9"/>
        <v>0.02189802506</v>
      </c>
      <c r="Y18" s="116">
        <f t="shared" si="10"/>
        <v>0.9781019749</v>
      </c>
      <c r="Z18" s="114">
        <f t="shared" si="1"/>
        <v>4464</v>
      </c>
      <c r="AA18" s="114">
        <f t="shared" si="2"/>
        <v>203854</v>
      </c>
      <c r="AB18" s="115">
        <f t="shared" si="3"/>
        <v>0.02189802506</v>
      </c>
      <c r="AC18" s="115">
        <f t="shared" si="4"/>
        <v>0.9781019749</v>
      </c>
      <c r="AD18" s="116"/>
      <c r="AE18" s="116"/>
      <c r="AF18" s="117"/>
      <c r="AG18" s="118" t="s">
        <v>56</v>
      </c>
      <c r="AH18" s="119">
        <v>3.0</v>
      </c>
      <c r="AI18" s="119">
        <v>0.0</v>
      </c>
      <c r="AJ18" s="119">
        <v>669.0</v>
      </c>
      <c r="AK18" s="120">
        <v>9.0</v>
      </c>
      <c r="AL18" s="119">
        <v>4.0</v>
      </c>
      <c r="AM18" s="119">
        <v>53.0</v>
      </c>
      <c r="AN18" s="119">
        <v>3.0</v>
      </c>
      <c r="AO18" s="121">
        <v>26178.0</v>
      </c>
      <c r="AP18" s="131">
        <v>23204.0</v>
      </c>
      <c r="AQ18" s="119">
        <v>11.0</v>
      </c>
      <c r="AR18" s="119">
        <v>54.0</v>
      </c>
      <c r="AS18" s="119">
        <v>640.0</v>
      </c>
      <c r="AT18" s="119">
        <v>6.0</v>
      </c>
      <c r="AU18" s="119">
        <v>31.0</v>
      </c>
      <c r="AV18" s="119">
        <v>6.0</v>
      </c>
      <c r="AW18" s="120">
        <v>0.0</v>
      </c>
      <c r="AX18" s="120">
        <v>2358.0</v>
      </c>
      <c r="AY18" s="120">
        <v>225979.0</v>
      </c>
      <c r="AZ18" s="123">
        <v>0.010434597905115077</v>
      </c>
      <c r="BA18" s="123">
        <v>0.989565402094885</v>
      </c>
      <c r="BB18" s="116"/>
      <c r="BC18" s="116"/>
      <c r="BD18" s="116"/>
      <c r="BE18" s="116"/>
      <c r="BF18" s="116"/>
      <c r="BG18" s="116"/>
      <c r="BH18" s="116"/>
      <c r="BI18" s="116"/>
    </row>
    <row r="19" ht="15.75" customHeight="1">
      <c r="A19" s="124"/>
      <c r="B19" s="38" t="s">
        <v>57</v>
      </c>
      <c r="C19" s="215">
        <v>0.0</v>
      </c>
      <c r="D19" s="215">
        <v>5355.0</v>
      </c>
      <c r="E19" s="215">
        <v>138.0</v>
      </c>
      <c r="F19" s="216"/>
      <c r="G19" s="217">
        <v>181.0</v>
      </c>
      <c r="H19" s="217">
        <v>78.0</v>
      </c>
      <c r="I19" s="218">
        <v>11.0</v>
      </c>
      <c r="J19" s="218">
        <v>5.0</v>
      </c>
      <c r="K19" s="218">
        <v>0.0</v>
      </c>
      <c r="L19" s="218">
        <v>135664.0</v>
      </c>
      <c r="M19" s="218">
        <v>268028.0</v>
      </c>
      <c r="N19" s="218">
        <v>5751.0</v>
      </c>
      <c r="O19" s="218">
        <v>20380.0</v>
      </c>
      <c r="P19" s="219">
        <v>1855.0</v>
      </c>
      <c r="Q19" s="218">
        <v>14.0</v>
      </c>
      <c r="R19" s="218">
        <v>450.0</v>
      </c>
      <c r="S19" s="218">
        <v>14.0</v>
      </c>
      <c r="T19" s="130">
        <f t="shared" si="5"/>
        <v>5674</v>
      </c>
      <c r="U19" s="130">
        <f t="shared" si="6"/>
        <v>94</v>
      </c>
      <c r="V19" s="130">
        <f t="shared" si="7"/>
        <v>403692</v>
      </c>
      <c r="W19" s="130">
        <f t="shared" si="8"/>
        <v>28464</v>
      </c>
      <c r="X19" s="116">
        <f t="shared" si="9"/>
        <v>0.01537198717</v>
      </c>
      <c r="Y19" s="116">
        <f t="shared" si="10"/>
        <v>0.9846280128</v>
      </c>
      <c r="Z19" s="114">
        <f t="shared" si="1"/>
        <v>5768</v>
      </c>
      <c r="AA19" s="114">
        <f t="shared" si="2"/>
        <v>375228</v>
      </c>
      <c r="AB19" s="115">
        <f t="shared" si="3"/>
        <v>0.01537198717</v>
      </c>
      <c r="AC19" s="115">
        <f t="shared" si="4"/>
        <v>0.9846280128</v>
      </c>
      <c r="AD19" s="116"/>
      <c r="AE19" s="116"/>
      <c r="AF19" s="117"/>
      <c r="AG19" s="118" t="s">
        <v>57</v>
      </c>
      <c r="AH19" s="119">
        <v>0.0</v>
      </c>
      <c r="AI19" s="119">
        <v>7.0</v>
      </c>
      <c r="AJ19" s="119">
        <v>2425.0</v>
      </c>
      <c r="AK19" s="120">
        <v>0.0</v>
      </c>
      <c r="AL19" s="119">
        <v>2.0</v>
      </c>
      <c r="AM19" s="119">
        <v>1.0</v>
      </c>
      <c r="AN19" s="119">
        <v>0.0</v>
      </c>
      <c r="AO19" s="121">
        <v>54496.0</v>
      </c>
      <c r="AP19" s="131">
        <v>27514.0</v>
      </c>
      <c r="AQ19" s="119">
        <v>8.0</v>
      </c>
      <c r="AR19" s="119">
        <v>239.0</v>
      </c>
      <c r="AS19" s="119">
        <v>267.0</v>
      </c>
      <c r="AT19" s="119">
        <v>3.0</v>
      </c>
      <c r="AU19" s="119">
        <v>37.0</v>
      </c>
      <c r="AV19" s="119">
        <v>3.0</v>
      </c>
      <c r="AW19" s="120">
        <v>7.0</v>
      </c>
      <c r="AX19" s="120">
        <v>5136.0</v>
      </c>
      <c r="AY19" s="120">
        <v>608626.0</v>
      </c>
      <c r="AZ19" s="123">
        <v>0.008438679911801337</v>
      </c>
      <c r="BA19" s="123">
        <v>0.9915613200881986</v>
      </c>
      <c r="BB19" s="116"/>
      <c r="BC19" s="116"/>
      <c r="BD19" s="116"/>
      <c r="BE19" s="116"/>
      <c r="BF19" s="116"/>
      <c r="BG19" s="116"/>
      <c r="BH19" s="116"/>
      <c r="BI19" s="116"/>
    </row>
    <row r="20" ht="15.75" customHeight="1">
      <c r="A20" s="132"/>
      <c r="B20" s="38" t="s">
        <v>58</v>
      </c>
      <c r="C20" s="215">
        <v>13215.0</v>
      </c>
      <c r="D20" s="215">
        <v>1606.0</v>
      </c>
      <c r="E20" s="215">
        <v>5756.0</v>
      </c>
      <c r="F20" s="216"/>
      <c r="G20" s="217">
        <v>0.0</v>
      </c>
      <c r="H20" s="217">
        <v>3427.0</v>
      </c>
      <c r="I20" s="218">
        <v>3713.0</v>
      </c>
      <c r="J20" s="218">
        <v>38.0</v>
      </c>
      <c r="K20" s="218">
        <v>71.0</v>
      </c>
      <c r="L20" s="218">
        <v>362987.0</v>
      </c>
      <c r="M20" s="218">
        <v>60314.0</v>
      </c>
      <c r="N20" s="218">
        <v>7269.0</v>
      </c>
      <c r="O20" s="218">
        <v>29133.0</v>
      </c>
      <c r="P20" s="219">
        <v>24074.0</v>
      </c>
      <c r="Q20" s="218">
        <v>358.0</v>
      </c>
      <c r="R20" s="218">
        <v>5664.0</v>
      </c>
      <c r="S20" s="218">
        <v>396.0</v>
      </c>
      <c r="T20" s="130">
        <f t="shared" si="5"/>
        <v>20577</v>
      </c>
      <c r="U20" s="130">
        <f t="shared" si="6"/>
        <v>7249</v>
      </c>
      <c r="V20" s="130">
        <f t="shared" si="7"/>
        <v>423301</v>
      </c>
      <c r="W20" s="130">
        <f t="shared" si="8"/>
        <v>66894</v>
      </c>
      <c r="X20" s="116">
        <f t="shared" si="9"/>
        <v>0.07807366298</v>
      </c>
      <c r="Y20" s="116">
        <f t="shared" si="10"/>
        <v>0.921926337</v>
      </c>
      <c r="Z20" s="114">
        <f t="shared" si="1"/>
        <v>27826</v>
      </c>
      <c r="AA20" s="114">
        <f t="shared" si="2"/>
        <v>356407</v>
      </c>
      <c r="AB20" s="115">
        <f t="shared" si="3"/>
        <v>0.07807366298</v>
      </c>
      <c r="AC20" s="115">
        <f t="shared" si="4"/>
        <v>0.921926337</v>
      </c>
      <c r="AD20" s="116"/>
      <c r="AE20" s="116"/>
      <c r="AF20" s="117"/>
      <c r="AG20" s="118" t="s">
        <v>58</v>
      </c>
      <c r="AH20" s="119">
        <v>0.0</v>
      </c>
      <c r="AI20" s="119">
        <v>982.0</v>
      </c>
      <c r="AJ20" s="119">
        <v>6525.0</v>
      </c>
      <c r="AK20" s="120">
        <v>197.0</v>
      </c>
      <c r="AL20" s="119">
        <v>1733.0</v>
      </c>
      <c r="AM20" s="119">
        <v>937.0</v>
      </c>
      <c r="AN20" s="119">
        <v>207.0</v>
      </c>
      <c r="AO20" s="121">
        <v>131694.0</v>
      </c>
      <c r="AP20" s="131">
        <v>27514.0</v>
      </c>
      <c r="AQ20" s="119">
        <v>1930.0</v>
      </c>
      <c r="AR20" s="119">
        <v>2.0</v>
      </c>
      <c r="AS20" s="119">
        <v>44.0</v>
      </c>
      <c r="AT20" s="119">
        <v>161.0</v>
      </c>
      <c r="AU20" s="119">
        <v>582.0</v>
      </c>
      <c r="AV20" s="119">
        <v>161.0</v>
      </c>
      <c r="AW20" s="120">
        <v>982.0</v>
      </c>
      <c r="AX20" s="120">
        <v>52872.0</v>
      </c>
      <c r="AY20" s="120">
        <v>512876.0</v>
      </c>
      <c r="AZ20" s="123">
        <v>0.10308924574361054</v>
      </c>
      <c r="BA20" s="123">
        <v>0.8969107542563894</v>
      </c>
      <c r="BB20" s="116"/>
      <c r="BC20" s="116"/>
      <c r="BD20" s="116"/>
      <c r="BE20" s="116"/>
      <c r="BF20" s="116"/>
      <c r="BG20" s="116"/>
      <c r="BH20" s="116"/>
      <c r="BI20" s="116"/>
    </row>
    <row r="21" ht="15.75" customHeight="1">
      <c r="A21" s="132"/>
      <c r="B21" s="38" t="s">
        <v>59</v>
      </c>
      <c r="C21" s="215">
        <v>1.0</v>
      </c>
      <c r="D21" s="215">
        <v>7872.0</v>
      </c>
      <c r="E21" s="215">
        <v>0.0</v>
      </c>
      <c r="F21" s="216"/>
      <c r="G21" s="217">
        <v>818.0</v>
      </c>
      <c r="H21" s="217">
        <v>0.0</v>
      </c>
      <c r="I21" s="218">
        <v>145.0</v>
      </c>
      <c r="J21" s="218">
        <v>169.0</v>
      </c>
      <c r="K21" s="218">
        <v>0.0</v>
      </c>
      <c r="L21" s="218">
        <v>44230.0</v>
      </c>
      <c r="M21" s="218">
        <v>24437.0</v>
      </c>
      <c r="N21" s="218">
        <v>1952.0</v>
      </c>
      <c r="O21" s="218">
        <v>2308.0</v>
      </c>
      <c r="P21" s="219">
        <v>16993.0</v>
      </c>
      <c r="Q21" s="218">
        <v>202.0</v>
      </c>
      <c r="R21" s="218">
        <v>778.0</v>
      </c>
      <c r="S21" s="218">
        <v>43.0</v>
      </c>
      <c r="T21" s="130">
        <f t="shared" si="5"/>
        <v>8691</v>
      </c>
      <c r="U21" s="130">
        <f t="shared" si="6"/>
        <v>314</v>
      </c>
      <c r="V21" s="130">
        <f t="shared" si="7"/>
        <v>68667</v>
      </c>
      <c r="W21" s="130">
        <f t="shared" si="8"/>
        <v>22276</v>
      </c>
      <c r="X21" s="116">
        <f t="shared" si="9"/>
        <v>0.1941109267</v>
      </c>
      <c r="Y21" s="116">
        <f t="shared" si="10"/>
        <v>0.8058890733</v>
      </c>
      <c r="Z21" s="114">
        <f t="shared" si="1"/>
        <v>9005</v>
      </c>
      <c r="AA21" s="114">
        <f t="shared" si="2"/>
        <v>46391</v>
      </c>
      <c r="AB21" s="115">
        <f t="shared" si="3"/>
        <v>0.1941109267</v>
      </c>
      <c r="AC21" s="115">
        <f t="shared" si="4"/>
        <v>0.8058890733</v>
      </c>
      <c r="AD21" s="116"/>
      <c r="AE21" s="116"/>
      <c r="AF21" s="117"/>
      <c r="AG21" s="118" t="s">
        <v>59</v>
      </c>
      <c r="AH21" s="119">
        <v>0.0</v>
      </c>
      <c r="AI21" s="119">
        <v>59.0</v>
      </c>
      <c r="AJ21" s="119">
        <v>4654.0</v>
      </c>
      <c r="AK21" s="120">
        <v>26.0</v>
      </c>
      <c r="AL21" s="119">
        <v>3.0</v>
      </c>
      <c r="AM21" s="119">
        <v>24.0</v>
      </c>
      <c r="AN21" s="119">
        <v>2.0</v>
      </c>
      <c r="AO21" s="121">
        <v>48858.0</v>
      </c>
      <c r="AP21" s="131">
        <v>32935.0</v>
      </c>
      <c r="AQ21" s="119">
        <v>456.0</v>
      </c>
      <c r="AR21" s="119">
        <v>1186.0</v>
      </c>
      <c r="AS21" s="119">
        <v>2559.0</v>
      </c>
      <c r="AT21" s="119">
        <v>22.0</v>
      </c>
      <c r="AU21" s="119">
        <v>36.0</v>
      </c>
      <c r="AV21" s="119">
        <v>22.0</v>
      </c>
      <c r="AW21" s="120">
        <v>59.0</v>
      </c>
      <c r="AX21" s="135"/>
      <c r="AY21" s="135"/>
      <c r="AZ21" s="136"/>
      <c r="BA21" s="136"/>
      <c r="BB21" s="116"/>
      <c r="BC21" s="116"/>
      <c r="BD21" s="116"/>
      <c r="BE21" s="116"/>
      <c r="BF21" s="116"/>
      <c r="BG21" s="116"/>
      <c r="BH21" s="116"/>
      <c r="BI21" s="116"/>
    </row>
    <row r="22" ht="15.75" customHeight="1">
      <c r="A22" s="132"/>
      <c r="B22" s="38" t="s">
        <v>60</v>
      </c>
      <c r="C22" s="215">
        <v>8.0</v>
      </c>
      <c r="D22" s="215">
        <v>1177.0</v>
      </c>
      <c r="E22" s="215">
        <v>109.0</v>
      </c>
      <c r="F22" s="216"/>
      <c r="G22" s="217">
        <v>160.0</v>
      </c>
      <c r="H22" s="217">
        <v>31.0</v>
      </c>
      <c r="I22" s="218">
        <v>100.0</v>
      </c>
      <c r="J22" s="218">
        <v>63.0</v>
      </c>
      <c r="K22" s="218">
        <v>0.0</v>
      </c>
      <c r="L22" s="218">
        <v>45301.0</v>
      </c>
      <c r="M22" s="218">
        <v>34674.0</v>
      </c>
      <c r="N22" s="218">
        <v>129.0</v>
      </c>
      <c r="O22" s="218">
        <v>1048.0</v>
      </c>
      <c r="P22" s="219">
        <v>2263.0</v>
      </c>
      <c r="Q22" s="218">
        <v>786.0</v>
      </c>
      <c r="R22" s="218">
        <v>10.0</v>
      </c>
      <c r="S22" s="218">
        <v>48.0</v>
      </c>
      <c r="T22" s="130">
        <f t="shared" si="5"/>
        <v>1454</v>
      </c>
      <c r="U22" s="130">
        <f t="shared" si="6"/>
        <v>194</v>
      </c>
      <c r="V22" s="130">
        <f t="shared" si="7"/>
        <v>79975</v>
      </c>
      <c r="W22" s="130">
        <f t="shared" si="8"/>
        <v>4284</v>
      </c>
      <c r="X22" s="116">
        <f t="shared" si="9"/>
        <v>0.02177273388</v>
      </c>
      <c r="Y22" s="116">
        <f t="shared" si="10"/>
        <v>0.9782272661</v>
      </c>
      <c r="Z22" s="114">
        <f t="shared" si="1"/>
        <v>1648</v>
      </c>
      <c r="AA22" s="114">
        <f t="shared" si="2"/>
        <v>75691</v>
      </c>
      <c r="AB22" s="115">
        <f t="shared" si="3"/>
        <v>0.02177273388</v>
      </c>
      <c r="AC22" s="115">
        <f t="shared" si="4"/>
        <v>0.9782272661</v>
      </c>
      <c r="AD22" s="116"/>
      <c r="AE22" s="116"/>
      <c r="AF22" s="117"/>
      <c r="AG22" s="118" t="s">
        <v>60</v>
      </c>
      <c r="AH22" s="119">
        <v>0.0</v>
      </c>
      <c r="AI22" s="119">
        <v>715.0</v>
      </c>
      <c r="AJ22" s="119">
        <v>818.0</v>
      </c>
      <c r="AK22" s="120">
        <v>1.0</v>
      </c>
      <c r="AL22" s="119">
        <v>56.0</v>
      </c>
      <c r="AM22" s="119">
        <v>114.0</v>
      </c>
      <c r="AN22" s="119">
        <v>191.0</v>
      </c>
      <c r="AO22" s="121">
        <v>46258.0</v>
      </c>
      <c r="AP22" s="131">
        <v>37050.0</v>
      </c>
      <c r="AQ22" s="119">
        <v>297.0</v>
      </c>
      <c r="AR22" s="119">
        <v>960.0</v>
      </c>
      <c r="AS22" s="119">
        <v>1229.0</v>
      </c>
      <c r="AT22" s="119">
        <v>11.0</v>
      </c>
      <c r="AU22" s="119">
        <v>18.0</v>
      </c>
      <c r="AV22" s="119">
        <v>11.0</v>
      </c>
      <c r="AW22" s="120">
        <v>715.0</v>
      </c>
      <c r="AX22" s="120">
        <v>1688.0</v>
      </c>
      <c r="AY22" s="120">
        <v>79016.0</v>
      </c>
      <c r="AZ22" s="123">
        <v>0.02136276197225878</v>
      </c>
      <c r="BA22" s="123">
        <v>0.9786372380277413</v>
      </c>
      <c r="BB22" s="116"/>
      <c r="BC22" s="116"/>
      <c r="BD22" s="116"/>
      <c r="BE22" s="116"/>
      <c r="BF22" s="116"/>
      <c r="BG22" s="116"/>
      <c r="BH22" s="116"/>
      <c r="BI22" s="116"/>
    </row>
    <row r="23" ht="15.75" customHeight="1">
      <c r="A23" s="124"/>
      <c r="B23" s="38" t="s">
        <v>61</v>
      </c>
      <c r="C23" s="215">
        <v>0.0</v>
      </c>
      <c r="D23" s="215">
        <v>40.0</v>
      </c>
      <c r="E23" s="215">
        <v>0.0</v>
      </c>
      <c r="F23" s="216"/>
      <c r="G23" s="217"/>
      <c r="H23" s="217">
        <v>162.0</v>
      </c>
      <c r="I23" s="218">
        <v>44.0</v>
      </c>
      <c r="J23" s="218">
        <v>0.0</v>
      </c>
      <c r="K23" s="218">
        <v>0.0</v>
      </c>
      <c r="L23" s="218">
        <v>9063.0</v>
      </c>
      <c r="M23" s="218">
        <v>4654.0</v>
      </c>
      <c r="N23" s="218">
        <v>0.0</v>
      </c>
      <c r="O23" s="218">
        <v>0.0</v>
      </c>
      <c r="P23" s="219">
        <v>1482.0</v>
      </c>
      <c r="Q23" s="218">
        <v>21.0</v>
      </c>
      <c r="R23" s="218">
        <v>0.0</v>
      </c>
      <c r="S23" s="218">
        <v>1.0</v>
      </c>
      <c r="T23" s="130">
        <f t="shared" si="5"/>
        <v>40</v>
      </c>
      <c r="U23" s="130">
        <f t="shared" si="6"/>
        <v>206</v>
      </c>
      <c r="V23" s="130">
        <f t="shared" si="7"/>
        <v>13717</v>
      </c>
      <c r="W23" s="130">
        <f t="shared" si="8"/>
        <v>1504</v>
      </c>
      <c r="X23" s="116">
        <f t="shared" si="9"/>
        <v>0.02014247114</v>
      </c>
      <c r="Y23" s="116">
        <f t="shared" si="10"/>
        <v>0.9798575289</v>
      </c>
      <c r="Z23" s="114">
        <f t="shared" si="1"/>
        <v>246</v>
      </c>
      <c r="AA23" s="114">
        <f t="shared" si="2"/>
        <v>12213</v>
      </c>
      <c r="AB23" s="115">
        <f t="shared" si="3"/>
        <v>0.02014247114</v>
      </c>
      <c r="AC23" s="115">
        <f t="shared" si="4"/>
        <v>0.9798575289</v>
      </c>
      <c r="AD23" s="116"/>
      <c r="AE23" s="116"/>
      <c r="AF23" s="117"/>
      <c r="AG23" s="140" t="s">
        <v>61</v>
      </c>
      <c r="AH23" s="141"/>
      <c r="AI23" s="142">
        <v>0.0</v>
      </c>
      <c r="AJ23" s="141"/>
      <c r="AK23" s="141"/>
      <c r="AL23" s="142">
        <v>0.0</v>
      </c>
      <c r="AM23" s="142">
        <v>0.0</v>
      </c>
      <c r="AN23" s="142">
        <v>0.0</v>
      </c>
      <c r="AO23" s="143">
        <v>0.0</v>
      </c>
      <c r="AP23" s="144">
        <v>5333.0</v>
      </c>
      <c r="AQ23" s="142">
        <v>0.0</v>
      </c>
      <c r="AR23" s="142">
        <v>0.0</v>
      </c>
      <c r="AS23" s="142">
        <v>0.0</v>
      </c>
      <c r="AT23" s="141"/>
      <c r="AU23" s="142">
        <v>0.0</v>
      </c>
      <c r="AV23" s="142">
        <v>0.0</v>
      </c>
      <c r="AW23" s="141"/>
      <c r="AX23" s="120">
        <v>439.0</v>
      </c>
      <c r="AY23" s="120">
        <v>24969.0</v>
      </c>
      <c r="AZ23" s="117">
        <v>0.017581801433777886</v>
      </c>
      <c r="BA23" s="123">
        <v>0.9824181985662221</v>
      </c>
      <c r="BB23" s="116"/>
      <c r="BC23" s="116"/>
      <c r="BD23" s="116"/>
      <c r="BE23" s="116"/>
      <c r="BF23" s="116"/>
      <c r="BG23" s="116"/>
      <c r="BH23" s="116"/>
      <c r="BI23" s="116"/>
    </row>
    <row r="24" ht="15.75" customHeight="1">
      <c r="A24" s="124"/>
      <c r="B24" s="38" t="s">
        <v>62</v>
      </c>
      <c r="C24" s="215">
        <v>589.0</v>
      </c>
      <c r="D24" s="215">
        <v>6312.0</v>
      </c>
      <c r="E24" s="215">
        <v>589.0</v>
      </c>
      <c r="F24" s="216"/>
      <c r="G24" s="217"/>
      <c r="H24" s="217"/>
      <c r="I24" s="218">
        <v>743.0</v>
      </c>
      <c r="J24" s="218">
        <v>338.0</v>
      </c>
      <c r="K24" s="218">
        <v>0.0</v>
      </c>
      <c r="L24" s="218">
        <v>99063.0</v>
      </c>
      <c r="M24" s="218">
        <v>213540.0</v>
      </c>
      <c r="N24" s="218">
        <v>1931.0</v>
      </c>
      <c r="O24" s="218">
        <v>2828.0</v>
      </c>
      <c r="P24" s="219">
        <v>20871.0</v>
      </c>
      <c r="Q24" s="218">
        <v>1932.0</v>
      </c>
      <c r="R24" s="218">
        <v>2828.0</v>
      </c>
      <c r="S24" s="218">
        <v>1932.0</v>
      </c>
      <c r="T24" s="130">
        <f t="shared" si="5"/>
        <v>7490</v>
      </c>
      <c r="U24" s="130">
        <f t="shared" si="6"/>
        <v>1081</v>
      </c>
      <c r="V24" s="130">
        <f t="shared" si="7"/>
        <v>312603</v>
      </c>
      <c r="W24" s="130">
        <f t="shared" si="8"/>
        <v>32322</v>
      </c>
      <c r="X24" s="116">
        <f t="shared" si="9"/>
        <v>0.03058002505</v>
      </c>
      <c r="Y24" s="116">
        <f t="shared" si="10"/>
        <v>0.969419975</v>
      </c>
      <c r="Z24" s="114">
        <f t="shared" si="1"/>
        <v>8571</v>
      </c>
      <c r="AA24" s="114">
        <f t="shared" si="2"/>
        <v>280281</v>
      </c>
      <c r="AB24" s="115">
        <f t="shared" si="3"/>
        <v>0.03058002505</v>
      </c>
      <c r="AC24" s="115">
        <f t="shared" si="4"/>
        <v>0.969419975</v>
      </c>
      <c r="AD24" s="116"/>
      <c r="AE24" s="116"/>
      <c r="AF24" s="117"/>
      <c r="AG24" s="118" t="s">
        <v>62</v>
      </c>
      <c r="AH24" s="119">
        <v>338.0</v>
      </c>
      <c r="AI24" s="119">
        <v>7141.0</v>
      </c>
      <c r="AJ24" s="119">
        <v>5609.0</v>
      </c>
      <c r="AK24" s="120">
        <v>67.0</v>
      </c>
      <c r="AL24" s="119">
        <v>388.0</v>
      </c>
      <c r="AM24" s="119">
        <v>815.0</v>
      </c>
      <c r="AN24" s="119">
        <v>233.0</v>
      </c>
      <c r="AO24" s="121">
        <v>95562.0</v>
      </c>
      <c r="AP24" s="131">
        <v>134403.0</v>
      </c>
      <c r="AQ24" s="119">
        <v>1213.0</v>
      </c>
      <c r="AR24" s="119">
        <v>585.0</v>
      </c>
      <c r="AS24" s="119">
        <v>703.0</v>
      </c>
      <c r="AT24" s="119">
        <v>185.0</v>
      </c>
      <c r="AU24" s="119">
        <v>192.0</v>
      </c>
      <c r="AV24" s="119">
        <v>185.0</v>
      </c>
      <c r="AW24" s="120">
        <v>7141.0</v>
      </c>
      <c r="AX24" s="120">
        <v>15202.0</v>
      </c>
      <c r="AY24" s="120">
        <v>267767.0</v>
      </c>
      <c r="AZ24" s="123">
        <v>0.05677323942083976</v>
      </c>
      <c r="BA24" s="123">
        <v>0.9432267605791602</v>
      </c>
      <c r="BB24" s="116"/>
      <c r="BC24" s="116"/>
      <c r="BD24" s="116"/>
      <c r="BE24" s="116"/>
      <c r="BF24" s="116"/>
      <c r="BG24" s="116"/>
      <c r="BH24" s="116"/>
      <c r="BI24" s="116"/>
    </row>
    <row r="25" ht="15.75" customHeight="1">
      <c r="A25" s="124"/>
      <c r="B25" s="38" t="s">
        <v>63</v>
      </c>
      <c r="C25" s="220"/>
      <c r="D25" s="215">
        <v>3022.0</v>
      </c>
      <c r="E25" s="215">
        <v>25.0</v>
      </c>
      <c r="F25" s="216"/>
      <c r="G25" s="217">
        <v>114.0</v>
      </c>
      <c r="H25" s="217">
        <v>58.0</v>
      </c>
      <c r="I25" s="218">
        <v>64.0</v>
      </c>
      <c r="J25" s="218">
        <v>56.0</v>
      </c>
      <c r="K25" s="218">
        <v>0.0</v>
      </c>
      <c r="L25" s="218">
        <v>43370.0</v>
      </c>
      <c r="M25" s="218">
        <v>38869.0</v>
      </c>
      <c r="N25" s="218"/>
      <c r="O25" s="218"/>
      <c r="P25" s="219"/>
      <c r="Q25" s="218"/>
      <c r="R25" s="218">
        <v>7750.0</v>
      </c>
      <c r="S25" s="218">
        <v>16.0</v>
      </c>
      <c r="T25" s="130">
        <f t="shared" si="5"/>
        <v>3161</v>
      </c>
      <c r="U25" s="130">
        <f t="shared" si="6"/>
        <v>178</v>
      </c>
      <c r="V25" s="130">
        <f t="shared" si="7"/>
        <v>82239</v>
      </c>
      <c r="W25" s="130">
        <f t="shared" si="8"/>
        <v>7766</v>
      </c>
      <c r="X25" s="116">
        <f t="shared" si="9"/>
        <v>0.04483504089</v>
      </c>
      <c r="Y25" s="116">
        <f t="shared" si="10"/>
        <v>0.9551649591</v>
      </c>
      <c r="Z25" s="114">
        <f t="shared" si="1"/>
        <v>3339</v>
      </c>
      <c r="AA25" s="114">
        <f t="shared" si="2"/>
        <v>74473</v>
      </c>
      <c r="AB25" s="115">
        <f t="shared" si="3"/>
        <v>0.04483504089</v>
      </c>
      <c r="AC25" s="115">
        <f t="shared" si="4"/>
        <v>0.9551649591</v>
      </c>
      <c r="AD25" s="116"/>
      <c r="AE25" s="116"/>
      <c r="AF25" s="117"/>
      <c r="AG25" s="118" t="s">
        <v>63</v>
      </c>
      <c r="AH25" s="119">
        <v>29.0</v>
      </c>
      <c r="AI25" s="119">
        <v>1632.0</v>
      </c>
      <c r="AJ25" s="119">
        <v>1017.0</v>
      </c>
      <c r="AK25" s="120">
        <v>14.0</v>
      </c>
      <c r="AL25" s="119">
        <v>8.0</v>
      </c>
      <c r="AM25" s="119">
        <v>40.0</v>
      </c>
      <c r="AN25" s="119">
        <v>22.0</v>
      </c>
      <c r="AO25" s="121">
        <v>43677.0</v>
      </c>
      <c r="AP25" s="131">
        <v>32827.0</v>
      </c>
      <c r="AQ25" s="119">
        <v>675.0</v>
      </c>
      <c r="AR25" s="119">
        <v>0.0</v>
      </c>
      <c r="AS25" s="119">
        <v>368.0</v>
      </c>
      <c r="AT25" s="119">
        <v>34.0</v>
      </c>
      <c r="AU25" s="119">
        <v>1.0</v>
      </c>
      <c r="AV25" s="119">
        <v>34.0</v>
      </c>
      <c r="AW25" s="120">
        <v>1632.0</v>
      </c>
      <c r="AX25" s="120">
        <v>178.0</v>
      </c>
      <c r="AY25" s="120">
        <v>108766.0</v>
      </c>
      <c r="AZ25" s="123">
        <v>0.001636540830774323</v>
      </c>
      <c r="BA25" s="123">
        <v>0.9983634591692256</v>
      </c>
      <c r="BB25" s="116"/>
      <c r="BC25" s="116"/>
      <c r="BD25" s="116"/>
      <c r="BE25" s="116"/>
      <c r="BF25" s="116"/>
      <c r="BG25" s="116"/>
      <c r="BH25" s="116"/>
      <c r="BI25" s="116"/>
    </row>
    <row r="26" ht="15.75" customHeight="1">
      <c r="A26" s="124"/>
      <c r="B26" s="38" t="s">
        <v>64</v>
      </c>
      <c r="C26" s="215">
        <v>679.0</v>
      </c>
      <c r="D26" s="215">
        <v>6234.0</v>
      </c>
      <c r="E26" s="215">
        <v>23.0</v>
      </c>
      <c r="F26" s="216"/>
      <c r="G26" s="217">
        <v>597.0</v>
      </c>
      <c r="H26" s="217">
        <v>60.0</v>
      </c>
      <c r="I26" s="218">
        <v>123.0</v>
      </c>
      <c r="J26" s="218">
        <v>61.0</v>
      </c>
      <c r="K26" s="218">
        <v>11.0</v>
      </c>
      <c r="L26" s="218">
        <v>76541.0</v>
      </c>
      <c r="M26" s="218">
        <v>53006.0</v>
      </c>
      <c r="N26" s="218">
        <v>95.0</v>
      </c>
      <c r="O26" s="218">
        <v>1973.0</v>
      </c>
      <c r="P26" s="219">
        <v>99997.0</v>
      </c>
      <c r="Q26" s="218">
        <v>212.0</v>
      </c>
      <c r="R26" s="218">
        <v>0.0</v>
      </c>
      <c r="S26" s="218">
        <v>52.0</v>
      </c>
      <c r="T26" s="130">
        <f t="shared" si="5"/>
        <v>7533</v>
      </c>
      <c r="U26" s="130">
        <f t="shared" si="6"/>
        <v>255</v>
      </c>
      <c r="V26" s="130">
        <f t="shared" si="7"/>
        <v>129547</v>
      </c>
      <c r="W26" s="130">
        <f t="shared" si="8"/>
        <v>102329</v>
      </c>
      <c r="X26" s="116">
        <f t="shared" si="9"/>
        <v>0.2861341759</v>
      </c>
      <c r="Y26" s="116">
        <f t="shared" si="10"/>
        <v>0.7138658241</v>
      </c>
      <c r="Z26" s="114">
        <f t="shared" si="1"/>
        <v>7788</v>
      </c>
      <c r="AA26" s="114">
        <f t="shared" si="2"/>
        <v>27218</v>
      </c>
      <c r="AB26" s="115">
        <f t="shared" si="3"/>
        <v>0.2861341759</v>
      </c>
      <c r="AC26" s="115">
        <f t="shared" si="4"/>
        <v>0.7138658241</v>
      </c>
      <c r="AD26" s="116"/>
      <c r="AE26" s="116"/>
      <c r="AF26" s="117"/>
      <c r="AG26" s="118" t="s">
        <v>64</v>
      </c>
      <c r="AH26" s="119">
        <v>21.0</v>
      </c>
      <c r="AI26" s="119">
        <v>36.0</v>
      </c>
      <c r="AJ26" s="119">
        <v>4703.0</v>
      </c>
      <c r="AK26" s="120">
        <v>27.0</v>
      </c>
      <c r="AL26" s="119">
        <v>8.0</v>
      </c>
      <c r="AM26" s="119">
        <v>4.0</v>
      </c>
      <c r="AN26" s="119">
        <v>9.0</v>
      </c>
      <c r="AO26" s="121">
        <v>77244.0</v>
      </c>
      <c r="AP26" s="131">
        <v>36369.0</v>
      </c>
      <c r="AQ26" s="119">
        <v>2.0</v>
      </c>
      <c r="AR26" s="119">
        <v>70.0</v>
      </c>
      <c r="AS26" s="119">
        <v>32699.0</v>
      </c>
      <c r="AT26" s="119">
        <v>12.0</v>
      </c>
      <c r="AU26" s="119">
        <v>173.0</v>
      </c>
      <c r="AV26" s="119">
        <v>12.0</v>
      </c>
      <c r="AW26" s="120">
        <v>36.0</v>
      </c>
      <c r="AX26" s="120">
        <v>9717.0</v>
      </c>
      <c r="AY26" s="120">
        <v>66757.0</v>
      </c>
      <c r="AZ26" s="123">
        <v>0.14555776922270325</v>
      </c>
      <c r="BA26" s="123">
        <v>0.8544422307772968</v>
      </c>
      <c r="BB26" s="116"/>
      <c r="BC26" s="116"/>
      <c r="BD26" s="116"/>
      <c r="BE26" s="116"/>
      <c r="BF26" s="116"/>
      <c r="BG26" s="116"/>
      <c r="BH26" s="116"/>
      <c r="BI26" s="116"/>
    </row>
    <row r="27" ht="15.75" customHeight="1">
      <c r="A27" s="124"/>
      <c r="B27" s="38" t="s">
        <v>65</v>
      </c>
      <c r="C27" s="215">
        <v>848.0</v>
      </c>
      <c r="D27" s="215">
        <v>4677.0</v>
      </c>
      <c r="E27" s="215">
        <v>36.0</v>
      </c>
      <c r="F27" s="216"/>
      <c r="G27" s="217">
        <v>551.0</v>
      </c>
      <c r="H27" s="217">
        <v>680.0</v>
      </c>
      <c r="I27" s="218">
        <v>89.0</v>
      </c>
      <c r="J27" s="218">
        <v>20.0</v>
      </c>
      <c r="K27" s="218">
        <v>0.0</v>
      </c>
      <c r="L27" s="218">
        <v>55843.0</v>
      </c>
      <c r="M27" s="218">
        <v>35730.0</v>
      </c>
      <c r="N27" s="218">
        <v>1006.0</v>
      </c>
      <c r="O27" s="218">
        <v>1834.0</v>
      </c>
      <c r="P27" s="219">
        <v>19472.0</v>
      </c>
      <c r="Q27" s="218">
        <v>307.0</v>
      </c>
      <c r="R27" s="218">
        <v>1.0</v>
      </c>
      <c r="S27" s="218">
        <v>148.0</v>
      </c>
      <c r="T27" s="130">
        <f t="shared" si="5"/>
        <v>6112</v>
      </c>
      <c r="U27" s="130">
        <f t="shared" si="6"/>
        <v>789</v>
      </c>
      <c r="V27" s="130">
        <f t="shared" si="7"/>
        <v>91573</v>
      </c>
      <c r="W27" s="130">
        <f t="shared" si="8"/>
        <v>22768</v>
      </c>
      <c r="X27" s="116">
        <f t="shared" si="9"/>
        <v>0.1002979435</v>
      </c>
      <c r="Y27" s="116">
        <f t="shared" si="10"/>
        <v>0.8997020565</v>
      </c>
      <c r="Z27" s="114">
        <f t="shared" si="1"/>
        <v>6901</v>
      </c>
      <c r="AA27" s="114">
        <f t="shared" si="2"/>
        <v>68805</v>
      </c>
      <c r="AB27" s="115">
        <f t="shared" si="3"/>
        <v>0.1002979435</v>
      </c>
      <c r="AC27" s="115">
        <f t="shared" si="4"/>
        <v>0.8997020565</v>
      </c>
      <c r="AD27" s="116"/>
      <c r="AE27" s="116"/>
      <c r="AF27" s="117"/>
      <c r="AG27" s="118" t="s">
        <v>65</v>
      </c>
      <c r="AH27" s="119">
        <v>567.0</v>
      </c>
      <c r="AI27" s="119">
        <v>889.0</v>
      </c>
      <c r="AJ27" s="119">
        <v>4085.0</v>
      </c>
      <c r="AK27" s="120">
        <v>6.0</v>
      </c>
      <c r="AL27" s="119">
        <v>331.0</v>
      </c>
      <c r="AM27" s="119">
        <v>412.0</v>
      </c>
      <c r="AN27" s="119">
        <v>17.0</v>
      </c>
      <c r="AO27" s="121">
        <v>60891.0</v>
      </c>
      <c r="AP27" s="131">
        <v>17304.0</v>
      </c>
      <c r="AQ27" s="119">
        <v>1292.0</v>
      </c>
      <c r="AR27" s="119">
        <v>1449.0</v>
      </c>
      <c r="AS27" s="119">
        <v>18492.0</v>
      </c>
      <c r="AT27" s="119">
        <v>62.0</v>
      </c>
      <c r="AU27" s="119">
        <v>17.0</v>
      </c>
      <c r="AV27" s="119">
        <v>62.0</v>
      </c>
      <c r="AW27" s="120">
        <v>889.0</v>
      </c>
      <c r="AX27" s="120">
        <v>5973.0</v>
      </c>
      <c r="AY27" s="120">
        <v>47301.0</v>
      </c>
      <c r="AZ27" s="123">
        <v>0.12627640007610832</v>
      </c>
      <c r="BA27" s="123">
        <v>0.8737235999238917</v>
      </c>
      <c r="BB27" s="116"/>
      <c r="BC27" s="116"/>
      <c r="BD27" s="116"/>
      <c r="BE27" s="116"/>
      <c r="BF27" s="116"/>
      <c r="BG27" s="116"/>
      <c r="BH27" s="116"/>
      <c r="BI27" s="116"/>
    </row>
    <row r="28" ht="15.75" customHeight="1">
      <c r="A28" s="124"/>
      <c r="B28" s="38" t="s">
        <v>66</v>
      </c>
      <c r="C28" s="215">
        <v>28.0</v>
      </c>
      <c r="D28" s="215">
        <v>2814.0</v>
      </c>
      <c r="E28" s="215">
        <v>0.0</v>
      </c>
      <c r="F28" s="216"/>
      <c r="G28" s="217">
        <v>7.0</v>
      </c>
      <c r="H28" s="217">
        <v>18.0</v>
      </c>
      <c r="I28" s="218">
        <v>9.0</v>
      </c>
      <c r="J28" s="218">
        <v>15.0</v>
      </c>
      <c r="K28" s="218">
        <v>0.0</v>
      </c>
      <c r="L28" s="218">
        <v>48125.0</v>
      </c>
      <c r="M28" s="218">
        <v>38887.0</v>
      </c>
      <c r="N28" s="218">
        <v>58.0</v>
      </c>
      <c r="O28" s="218">
        <v>284.0</v>
      </c>
      <c r="P28" s="219">
        <v>2196.0</v>
      </c>
      <c r="Q28" s="218">
        <v>5.0</v>
      </c>
      <c r="R28" s="218">
        <v>0.0</v>
      </c>
      <c r="S28" s="218">
        <v>0.0</v>
      </c>
      <c r="T28" s="130">
        <f t="shared" si="5"/>
        <v>2849</v>
      </c>
      <c r="U28" s="130">
        <f t="shared" si="6"/>
        <v>42</v>
      </c>
      <c r="V28" s="130">
        <f t="shared" si="7"/>
        <v>87012</v>
      </c>
      <c r="W28" s="130">
        <f t="shared" si="8"/>
        <v>2543</v>
      </c>
      <c r="X28" s="116">
        <f t="shared" si="9"/>
        <v>0.03422557388</v>
      </c>
      <c r="Y28" s="116">
        <f t="shared" si="10"/>
        <v>0.9657744261</v>
      </c>
      <c r="Z28" s="114">
        <f t="shared" si="1"/>
        <v>2891</v>
      </c>
      <c r="AA28" s="114">
        <f t="shared" si="2"/>
        <v>84469</v>
      </c>
      <c r="AB28" s="115">
        <f t="shared" si="3"/>
        <v>0.03422557388</v>
      </c>
      <c r="AC28" s="115">
        <f t="shared" si="4"/>
        <v>0.9657744261</v>
      </c>
      <c r="AD28" s="116"/>
      <c r="AE28" s="116"/>
      <c r="AF28" s="117"/>
      <c r="AG28" s="118" t="s">
        <v>66</v>
      </c>
      <c r="AH28" s="119">
        <v>85.0</v>
      </c>
      <c r="AI28" s="119">
        <v>231.0</v>
      </c>
      <c r="AJ28" s="119">
        <v>1566.0</v>
      </c>
      <c r="AK28" s="120">
        <v>0.0</v>
      </c>
      <c r="AL28" s="119">
        <v>3.0</v>
      </c>
      <c r="AM28" s="119">
        <v>12.0</v>
      </c>
      <c r="AN28" s="119">
        <v>11.0</v>
      </c>
      <c r="AO28" s="121">
        <v>52006.0</v>
      </c>
      <c r="AP28" s="131">
        <v>26176.0</v>
      </c>
      <c r="AQ28" s="119">
        <v>60.0</v>
      </c>
      <c r="AR28" s="119">
        <v>160.0</v>
      </c>
      <c r="AS28" s="119">
        <v>1140.0</v>
      </c>
      <c r="AT28" s="119">
        <v>5.0</v>
      </c>
      <c r="AU28" s="119">
        <v>9.0</v>
      </c>
      <c r="AV28" s="119">
        <v>5.0</v>
      </c>
      <c r="AW28" s="120">
        <v>231.0</v>
      </c>
      <c r="AX28" s="120">
        <v>1474.0</v>
      </c>
      <c r="AY28" s="120">
        <v>48777.0</v>
      </c>
      <c r="AZ28" s="123">
        <v>0.030219160669987904</v>
      </c>
      <c r="BA28" s="123">
        <v>0.9697808393300121</v>
      </c>
      <c r="BB28" s="116"/>
      <c r="BC28" s="116"/>
      <c r="BD28" s="116"/>
      <c r="BE28" s="116"/>
      <c r="BF28" s="116"/>
      <c r="BG28" s="116"/>
      <c r="BH28" s="116"/>
      <c r="BI28" s="116"/>
    </row>
    <row r="29" ht="15.75" customHeight="1">
      <c r="A29" s="124"/>
      <c r="B29" s="38" t="s">
        <v>67</v>
      </c>
      <c r="C29" s="215">
        <v>419.0</v>
      </c>
      <c r="D29" s="215">
        <v>2958.0</v>
      </c>
      <c r="E29" s="215">
        <v>1.0</v>
      </c>
      <c r="F29" s="216"/>
      <c r="G29" s="217">
        <v>0.0</v>
      </c>
      <c r="H29" s="217">
        <v>9.0</v>
      </c>
      <c r="I29" s="218">
        <v>6.0</v>
      </c>
      <c r="J29" s="218">
        <v>0.0</v>
      </c>
      <c r="K29" s="218">
        <v>0.0</v>
      </c>
      <c r="L29" s="218">
        <v>55494.0</v>
      </c>
      <c r="M29" s="218">
        <v>34884.0</v>
      </c>
      <c r="N29" s="218">
        <v>291.0</v>
      </c>
      <c r="O29" s="218">
        <v>66.0</v>
      </c>
      <c r="P29" s="219">
        <v>14202.0</v>
      </c>
      <c r="Q29" s="218">
        <v>98.0</v>
      </c>
      <c r="R29" s="218">
        <v>1.0</v>
      </c>
      <c r="S29" s="218">
        <v>14.0</v>
      </c>
      <c r="T29" s="130">
        <f t="shared" si="5"/>
        <v>3378</v>
      </c>
      <c r="U29" s="130">
        <f t="shared" si="6"/>
        <v>15</v>
      </c>
      <c r="V29" s="130">
        <f t="shared" si="7"/>
        <v>90378</v>
      </c>
      <c r="W29" s="130">
        <f t="shared" si="8"/>
        <v>14672</v>
      </c>
      <c r="X29" s="116">
        <f t="shared" si="9"/>
        <v>0.04481811217</v>
      </c>
      <c r="Y29" s="116">
        <f t="shared" si="10"/>
        <v>0.9551818878</v>
      </c>
      <c r="Z29" s="114">
        <f t="shared" si="1"/>
        <v>3393</v>
      </c>
      <c r="AA29" s="114">
        <f t="shared" si="2"/>
        <v>75706</v>
      </c>
      <c r="AB29" s="115">
        <f t="shared" si="3"/>
        <v>0.04481811217</v>
      </c>
      <c r="AC29" s="115">
        <f t="shared" si="4"/>
        <v>0.9551818878</v>
      </c>
      <c r="AD29" s="116"/>
      <c r="AE29" s="116"/>
      <c r="AF29" s="117"/>
      <c r="AG29" s="118" t="s">
        <v>67</v>
      </c>
      <c r="AH29" s="119">
        <v>194.0</v>
      </c>
      <c r="AI29" s="119">
        <v>447.0</v>
      </c>
      <c r="AJ29" s="119">
        <v>540.0</v>
      </c>
      <c r="AK29" s="120">
        <v>7.0</v>
      </c>
      <c r="AL29" s="119">
        <v>545.0</v>
      </c>
      <c r="AM29" s="119">
        <v>32.0</v>
      </c>
      <c r="AN29" s="119">
        <v>0.0</v>
      </c>
      <c r="AO29" s="121">
        <v>59282.0</v>
      </c>
      <c r="AP29" s="131">
        <v>37235.0</v>
      </c>
      <c r="AQ29" s="119">
        <v>178.0</v>
      </c>
      <c r="AR29" s="119">
        <v>1149.0</v>
      </c>
      <c r="AS29" s="119">
        <v>4139.0</v>
      </c>
      <c r="AT29" s="119">
        <v>54.0</v>
      </c>
      <c r="AU29" s="119">
        <v>0.0</v>
      </c>
      <c r="AV29" s="119">
        <v>54.0</v>
      </c>
      <c r="AW29" s="120">
        <v>447.0</v>
      </c>
      <c r="AX29" s="120">
        <v>2703.0</v>
      </c>
      <c r="AY29" s="120">
        <v>77085.0</v>
      </c>
      <c r="AZ29" s="123">
        <v>0.03506518777972368</v>
      </c>
      <c r="BA29" s="123">
        <v>0.9649348122202763</v>
      </c>
      <c r="BB29" s="116"/>
      <c r="BC29" s="116"/>
      <c r="BD29" s="116"/>
      <c r="BE29" s="116"/>
      <c r="BF29" s="116"/>
      <c r="BG29" s="116"/>
      <c r="BH29" s="116"/>
      <c r="BI29" s="116"/>
    </row>
    <row r="30" ht="15.75" customHeight="1">
      <c r="A30" s="124"/>
      <c r="B30" s="38" t="s">
        <v>68</v>
      </c>
      <c r="C30" s="215">
        <v>0.0</v>
      </c>
      <c r="D30" s="215">
        <v>3491.0</v>
      </c>
      <c r="E30" s="215">
        <v>0.0</v>
      </c>
      <c r="F30" s="216"/>
      <c r="G30" s="217">
        <v>0.0</v>
      </c>
      <c r="H30" s="217">
        <v>422.0</v>
      </c>
      <c r="I30" s="218">
        <v>144.0</v>
      </c>
      <c r="J30" s="218">
        <v>10.0</v>
      </c>
      <c r="K30" s="218">
        <v>0.0</v>
      </c>
      <c r="L30" s="218">
        <v>28684.0</v>
      </c>
      <c r="M30" s="218">
        <v>60488.0</v>
      </c>
      <c r="N30" s="218">
        <v>21.0</v>
      </c>
      <c r="O30" s="218">
        <v>620.0</v>
      </c>
      <c r="P30" s="219">
        <v>6507.0</v>
      </c>
      <c r="Q30" s="218">
        <v>147.0</v>
      </c>
      <c r="R30" s="218">
        <v>0.0</v>
      </c>
      <c r="S30" s="218">
        <v>0.0</v>
      </c>
      <c r="T30" s="130">
        <f t="shared" si="5"/>
        <v>3491</v>
      </c>
      <c r="U30" s="130">
        <f t="shared" si="6"/>
        <v>576</v>
      </c>
      <c r="V30" s="130">
        <f t="shared" si="7"/>
        <v>89172</v>
      </c>
      <c r="W30" s="130">
        <f t="shared" si="8"/>
        <v>7295</v>
      </c>
      <c r="X30" s="116">
        <f t="shared" si="9"/>
        <v>0.04967206908</v>
      </c>
      <c r="Y30" s="116">
        <f t="shared" si="10"/>
        <v>0.9503279309</v>
      </c>
      <c r="Z30" s="114">
        <f t="shared" si="1"/>
        <v>4067</v>
      </c>
      <c r="AA30" s="114">
        <f t="shared" si="2"/>
        <v>81877</v>
      </c>
      <c r="AB30" s="115">
        <f t="shared" si="3"/>
        <v>0.04967206908</v>
      </c>
      <c r="AC30" s="115">
        <f t="shared" si="4"/>
        <v>0.9503279309</v>
      </c>
      <c r="AD30" s="116"/>
      <c r="AE30" s="116"/>
      <c r="AF30" s="117"/>
      <c r="AG30" s="118" t="s">
        <v>68</v>
      </c>
      <c r="AH30" s="119">
        <v>1.0</v>
      </c>
      <c r="AI30" s="119">
        <v>0.0</v>
      </c>
      <c r="AJ30" s="119">
        <v>2866.0</v>
      </c>
      <c r="AK30" s="120">
        <v>40.0</v>
      </c>
      <c r="AL30" s="119">
        <v>63.0</v>
      </c>
      <c r="AM30" s="119">
        <v>39.0</v>
      </c>
      <c r="AN30" s="119">
        <v>1.0</v>
      </c>
      <c r="AO30" s="121">
        <v>29224.0</v>
      </c>
      <c r="AP30" s="131">
        <v>16057.0</v>
      </c>
      <c r="AQ30" s="119">
        <v>13.0</v>
      </c>
      <c r="AR30" s="119">
        <v>292.0</v>
      </c>
      <c r="AS30" s="119">
        <v>4600.0</v>
      </c>
      <c r="AT30" s="119">
        <v>99.0</v>
      </c>
      <c r="AU30" s="119">
        <v>0.0</v>
      </c>
      <c r="AV30" s="119">
        <v>99.0</v>
      </c>
      <c r="AW30" s="120">
        <v>0.0</v>
      </c>
      <c r="AX30" s="120">
        <v>5205.0</v>
      </c>
      <c r="AY30" s="120">
        <v>105582.0</v>
      </c>
      <c r="AZ30" s="123">
        <v>0.04929817582542479</v>
      </c>
      <c r="BA30" s="123">
        <v>0.9507018241745752</v>
      </c>
      <c r="BB30" s="116"/>
      <c r="BC30" s="116"/>
      <c r="BD30" s="116"/>
      <c r="BE30" s="116"/>
      <c r="BF30" s="116"/>
      <c r="BG30" s="116"/>
      <c r="BH30" s="116"/>
      <c r="BI30" s="116"/>
    </row>
    <row r="31" ht="15.75" customHeight="1">
      <c r="A31" s="132"/>
      <c r="B31" s="204" t="s">
        <v>69</v>
      </c>
      <c r="C31" s="222">
        <v>0.0</v>
      </c>
      <c r="D31" s="222">
        <v>4980.0</v>
      </c>
      <c r="E31" s="223"/>
      <c r="F31" s="223"/>
      <c r="G31" s="224">
        <v>209.0</v>
      </c>
      <c r="H31" s="224">
        <v>2647.0</v>
      </c>
      <c r="I31" s="225">
        <v>38.0</v>
      </c>
      <c r="J31" s="225">
        <v>11.0</v>
      </c>
      <c r="K31" s="225">
        <v>0.0</v>
      </c>
      <c r="L31" s="225">
        <v>31693.0</v>
      </c>
      <c r="M31" s="225"/>
      <c r="N31" s="225">
        <v>1.0</v>
      </c>
      <c r="O31" s="225">
        <v>26.0</v>
      </c>
      <c r="P31" s="226">
        <v>6641.0</v>
      </c>
      <c r="Q31" s="225">
        <v>121.0</v>
      </c>
      <c r="R31" s="225"/>
      <c r="S31" s="225"/>
      <c r="T31" s="130">
        <f t="shared" si="5"/>
        <v>5189</v>
      </c>
      <c r="U31" s="130">
        <f t="shared" si="6"/>
        <v>2696</v>
      </c>
      <c r="V31" s="130">
        <f t="shared" si="7"/>
        <v>31693</v>
      </c>
      <c r="W31" s="130">
        <f t="shared" si="8"/>
        <v>6789</v>
      </c>
      <c r="X31" s="116">
        <f t="shared" si="9"/>
        <v>0.3166158047</v>
      </c>
      <c r="Y31" s="116">
        <f t="shared" si="10"/>
        <v>0.6833841953</v>
      </c>
      <c r="Z31" s="114">
        <f t="shared" si="1"/>
        <v>7885</v>
      </c>
      <c r="AA31" s="114">
        <f t="shared" si="2"/>
        <v>24904</v>
      </c>
      <c r="AB31" s="115">
        <f t="shared" si="3"/>
        <v>0.3166158047</v>
      </c>
      <c r="AC31" s="115">
        <f t="shared" si="4"/>
        <v>0.6833841953</v>
      </c>
      <c r="AD31" s="116"/>
      <c r="AE31" s="116"/>
      <c r="AF31" s="117"/>
      <c r="AG31" s="118" t="s">
        <v>69</v>
      </c>
      <c r="AH31" s="119">
        <v>0.0</v>
      </c>
      <c r="AI31" s="119">
        <v>0.0</v>
      </c>
      <c r="AJ31" s="119">
        <v>3889.0</v>
      </c>
      <c r="AK31" s="120">
        <v>317.0</v>
      </c>
      <c r="AL31" s="119">
        <v>31.0</v>
      </c>
      <c r="AM31" s="119">
        <v>1037.0</v>
      </c>
      <c r="AN31" s="119">
        <v>18.0</v>
      </c>
      <c r="AO31" s="121">
        <v>37098.0</v>
      </c>
      <c r="AP31" s="131">
        <v>23866.0</v>
      </c>
      <c r="AQ31" s="119">
        <v>0.0</v>
      </c>
      <c r="AR31" s="119">
        <v>39.0</v>
      </c>
      <c r="AS31" s="119">
        <v>522.0</v>
      </c>
      <c r="AT31" s="119">
        <v>59.0</v>
      </c>
      <c r="AU31" s="119">
        <v>243.0</v>
      </c>
      <c r="AV31" s="119">
        <v>59.0</v>
      </c>
      <c r="AW31" s="120">
        <v>0.0</v>
      </c>
      <c r="AX31" s="120">
        <v>2144.0</v>
      </c>
      <c r="AY31" s="120">
        <v>34252.0</v>
      </c>
      <c r="AZ31" s="123">
        <v>0.06259488497022071</v>
      </c>
      <c r="BA31" s="123">
        <v>0.9374051150297793</v>
      </c>
      <c r="BB31" s="116"/>
      <c r="BC31" s="116"/>
      <c r="BD31" s="116"/>
      <c r="BE31" s="116"/>
      <c r="BF31" s="116"/>
      <c r="BG31" s="116"/>
      <c r="BH31" s="116"/>
      <c r="BI31" s="116"/>
    </row>
    <row r="32" ht="15.75" customHeight="1">
      <c r="A32" s="132"/>
      <c r="B32" s="38" t="s">
        <v>70</v>
      </c>
      <c r="C32" s="215">
        <v>4.0</v>
      </c>
      <c r="D32" s="215">
        <v>2464.0</v>
      </c>
      <c r="E32" s="215">
        <v>0.0</v>
      </c>
      <c r="F32" s="216"/>
      <c r="G32" s="217">
        <v>438.0</v>
      </c>
      <c r="H32" s="217"/>
      <c r="I32" s="218">
        <v>155.0</v>
      </c>
      <c r="J32" s="218">
        <v>37.0</v>
      </c>
      <c r="K32" s="218">
        <v>5.0</v>
      </c>
      <c r="L32" s="218">
        <v>40772.0</v>
      </c>
      <c r="M32" s="218">
        <v>2657.0</v>
      </c>
      <c r="N32" s="218">
        <v>3177.0</v>
      </c>
      <c r="O32" s="218">
        <v>262.0</v>
      </c>
      <c r="P32" s="219">
        <v>419.0</v>
      </c>
      <c r="Q32" s="218">
        <v>13.0</v>
      </c>
      <c r="R32" s="218">
        <v>55.0</v>
      </c>
      <c r="S32" s="218">
        <v>0.0</v>
      </c>
      <c r="T32" s="130">
        <f t="shared" si="5"/>
        <v>2906</v>
      </c>
      <c r="U32" s="130">
        <f t="shared" si="6"/>
        <v>197</v>
      </c>
      <c r="V32" s="130">
        <f t="shared" si="7"/>
        <v>43429</v>
      </c>
      <c r="W32" s="130">
        <f t="shared" si="8"/>
        <v>3926</v>
      </c>
      <c r="X32" s="116">
        <f t="shared" si="9"/>
        <v>0.07855099613</v>
      </c>
      <c r="Y32" s="116">
        <f t="shared" si="10"/>
        <v>0.9214490039</v>
      </c>
      <c r="Z32" s="114">
        <f t="shared" si="1"/>
        <v>3103</v>
      </c>
      <c r="AA32" s="114">
        <f t="shared" si="2"/>
        <v>39503</v>
      </c>
      <c r="AB32" s="115">
        <f t="shared" si="3"/>
        <v>0.07855099613</v>
      </c>
      <c r="AC32" s="115">
        <f t="shared" si="4"/>
        <v>0.9214490039</v>
      </c>
      <c r="AD32" s="116"/>
      <c r="AE32" s="116"/>
      <c r="AF32" s="117"/>
      <c r="AG32" s="118" t="s">
        <v>70</v>
      </c>
      <c r="AH32" s="119">
        <v>0.0</v>
      </c>
      <c r="AI32" s="119">
        <v>6.0</v>
      </c>
      <c r="AJ32" s="119">
        <v>1392.0</v>
      </c>
      <c r="AK32" s="120">
        <v>13.0</v>
      </c>
      <c r="AL32" s="119">
        <v>268.0</v>
      </c>
      <c r="AM32" s="119">
        <v>117.0</v>
      </c>
      <c r="AN32" s="119">
        <v>38.0</v>
      </c>
      <c r="AO32" s="121">
        <v>40789.0</v>
      </c>
      <c r="AP32" s="131">
        <v>26221.0</v>
      </c>
      <c r="AQ32" s="119">
        <v>2645.0</v>
      </c>
      <c r="AR32" s="119">
        <v>201.0</v>
      </c>
      <c r="AS32" s="119">
        <v>173.0</v>
      </c>
      <c r="AT32" s="119">
        <v>3.0</v>
      </c>
      <c r="AU32" s="119">
        <v>4.0</v>
      </c>
      <c r="AV32" s="119">
        <v>3.0</v>
      </c>
      <c r="AW32" s="120">
        <v>6.0</v>
      </c>
      <c r="AX32" s="120">
        <v>6745.0</v>
      </c>
      <c r="AY32" s="120">
        <v>118952.0</v>
      </c>
      <c r="AZ32" s="123">
        <v>0.056703544286771136</v>
      </c>
      <c r="BA32" s="123">
        <v>0.9432964557132288</v>
      </c>
      <c r="BB32" s="116"/>
      <c r="BC32" s="116"/>
      <c r="BD32" s="116"/>
      <c r="BE32" s="116"/>
      <c r="BF32" s="116"/>
      <c r="BG32" s="116"/>
      <c r="BH32" s="116"/>
      <c r="BI32" s="116"/>
    </row>
    <row r="33" ht="15.75" customHeight="1">
      <c r="A33" s="124"/>
      <c r="B33" s="38" t="s">
        <v>71</v>
      </c>
      <c r="C33" s="215">
        <v>0.0</v>
      </c>
      <c r="D33" s="215">
        <v>2832.0</v>
      </c>
      <c r="E33" s="220"/>
      <c r="F33" s="216"/>
      <c r="G33" s="217">
        <v>74.0</v>
      </c>
      <c r="H33" s="217">
        <v>132.0</v>
      </c>
      <c r="I33" s="218">
        <v>184.0</v>
      </c>
      <c r="J33" s="218">
        <v>61.0</v>
      </c>
      <c r="K33" s="218">
        <v>0.0</v>
      </c>
      <c r="L33" s="218">
        <v>37235.0</v>
      </c>
      <c r="M33" s="218">
        <v>28759.0</v>
      </c>
      <c r="N33" s="218">
        <v>170.0</v>
      </c>
      <c r="O33" s="218">
        <v>939.0</v>
      </c>
      <c r="P33" s="219">
        <v>2063.0</v>
      </c>
      <c r="Q33" s="218">
        <v>123.0</v>
      </c>
      <c r="R33" s="218"/>
      <c r="S33" s="218"/>
      <c r="T33" s="130">
        <f t="shared" si="5"/>
        <v>2906</v>
      </c>
      <c r="U33" s="130">
        <f t="shared" si="6"/>
        <v>377</v>
      </c>
      <c r="V33" s="130">
        <f t="shared" si="7"/>
        <v>65994</v>
      </c>
      <c r="W33" s="130">
        <f t="shared" si="8"/>
        <v>3295</v>
      </c>
      <c r="X33" s="116">
        <f t="shared" si="9"/>
        <v>0.05236128168</v>
      </c>
      <c r="Y33" s="116">
        <f t="shared" si="10"/>
        <v>0.9476387183</v>
      </c>
      <c r="Z33" s="114">
        <f t="shared" si="1"/>
        <v>3283</v>
      </c>
      <c r="AA33" s="114">
        <f t="shared" si="2"/>
        <v>62699</v>
      </c>
      <c r="AB33" s="115">
        <f t="shared" si="3"/>
        <v>0.05236128168</v>
      </c>
      <c r="AC33" s="115">
        <f t="shared" si="4"/>
        <v>0.9476387183</v>
      </c>
      <c r="AD33" s="116"/>
      <c r="AE33" s="116"/>
      <c r="AF33" s="117"/>
      <c r="AG33" s="118" t="s">
        <v>71</v>
      </c>
      <c r="AH33" s="119">
        <v>0.0</v>
      </c>
      <c r="AI33" s="119">
        <v>0.0</v>
      </c>
      <c r="AJ33" s="119">
        <v>1080.0</v>
      </c>
      <c r="AK33" s="120">
        <v>0.0</v>
      </c>
      <c r="AL33" s="119">
        <v>0.0</v>
      </c>
      <c r="AM33" s="119">
        <v>186.0</v>
      </c>
      <c r="AN33" s="119">
        <v>314.0</v>
      </c>
      <c r="AO33" s="121">
        <v>41629.0</v>
      </c>
      <c r="AP33" s="131">
        <v>29470.0</v>
      </c>
      <c r="AQ33" s="119">
        <v>71.0</v>
      </c>
      <c r="AR33" s="119">
        <v>752.0</v>
      </c>
      <c r="AS33" s="119">
        <v>280.0</v>
      </c>
      <c r="AT33" s="119">
        <v>0.0</v>
      </c>
      <c r="AU33" s="119">
        <v>0.0</v>
      </c>
      <c r="AV33" s="119">
        <v>0.0</v>
      </c>
      <c r="AW33" s="120">
        <v>0.0</v>
      </c>
      <c r="AX33" s="120">
        <v>6070.0</v>
      </c>
      <c r="AY33" s="120">
        <v>67671.0</v>
      </c>
      <c r="AZ33" s="123">
        <v>0.08969868924650146</v>
      </c>
      <c r="BA33" s="123">
        <v>0.9103013107534985</v>
      </c>
      <c r="BB33" s="116"/>
      <c r="BC33" s="116"/>
      <c r="BD33" s="116"/>
      <c r="BE33" s="116"/>
      <c r="BF33" s="116"/>
      <c r="BG33" s="116"/>
      <c r="BH33" s="116"/>
      <c r="BI33" s="116"/>
    </row>
    <row r="34" ht="15.75" customHeight="1">
      <c r="A34" s="132"/>
      <c r="B34" s="38" t="s">
        <v>72</v>
      </c>
      <c r="C34" s="215">
        <v>0.0</v>
      </c>
      <c r="D34" s="215">
        <v>741.0</v>
      </c>
      <c r="E34" s="215">
        <v>0.0</v>
      </c>
      <c r="F34" s="216"/>
      <c r="G34" s="217">
        <v>39.0</v>
      </c>
      <c r="H34" s="217">
        <v>0.0</v>
      </c>
      <c r="I34" s="218"/>
      <c r="J34" s="218"/>
      <c r="K34" s="218"/>
      <c r="L34" s="218">
        <v>4375.0</v>
      </c>
      <c r="M34" s="218">
        <v>3792.0</v>
      </c>
      <c r="N34" s="218">
        <v>1.0</v>
      </c>
      <c r="O34" s="218">
        <v>37.0</v>
      </c>
      <c r="P34" s="219">
        <v>16.0</v>
      </c>
      <c r="Q34" s="218">
        <v>4.0</v>
      </c>
      <c r="R34" s="218">
        <v>0.0</v>
      </c>
      <c r="S34" s="218">
        <v>0.0</v>
      </c>
      <c r="T34" s="130">
        <f t="shared" si="5"/>
        <v>780</v>
      </c>
      <c r="U34" s="130">
        <f t="shared" si="6"/>
        <v>0</v>
      </c>
      <c r="V34" s="130">
        <f t="shared" si="7"/>
        <v>8167</v>
      </c>
      <c r="W34" s="130">
        <f t="shared" si="8"/>
        <v>58</v>
      </c>
      <c r="X34" s="116">
        <f t="shared" si="9"/>
        <v>0.09618941916</v>
      </c>
      <c r="Y34" s="116">
        <f t="shared" si="10"/>
        <v>0.9038105808</v>
      </c>
      <c r="Z34" s="114">
        <f t="shared" si="1"/>
        <v>780</v>
      </c>
      <c r="AA34" s="114">
        <f t="shared" si="2"/>
        <v>8109</v>
      </c>
      <c r="AB34" s="115">
        <f t="shared" si="3"/>
        <v>0.09618941916</v>
      </c>
      <c r="AC34" s="115">
        <f t="shared" si="4"/>
        <v>0.9038105808</v>
      </c>
      <c r="AD34" s="116"/>
      <c r="AE34" s="116"/>
      <c r="AF34" s="117"/>
      <c r="AG34" s="118" t="s">
        <v>72</v>
      </c>
      <c r="AH34" s="119">
        <v>0.0</v>
      </c>
      <c r="AI34" s="119">
        <v>0.0</v>
      </c>
      <c r="AJ34" s="119">
        <v>6.0</v>
      </c>
      <c r="AK34" s="120">
        <v>0.0</v>
      </c>
      <c r="AL34" s="119">
        <v>15.0</v>
      </c>
      <c r="AM34" s="119">
        <v>8.0</v>
      </c>
      <c r="AN34" s="119">
        <v>3.0</v>
      </c>
      <c r="AO34" s="121">
        <v>3882.0</v>
      </c>
      <c r="AP34" s="131">
        <v>3706.0</v>
      </c>
      <c r="AQ34" s="119">
        <v>7.0</v>
      </c>
      <c r="AR34" s="119">
        <v>72.0</v>
      </c>
      <c r="AS34" s="119">
        <v>0.0</v>
      </c>
      <c r="AT34" s="119">
        <v>23.0</v>
      </c>
      <c r="AU34" s="119">
        <v>16.0</v>
      </c>
      <c r="AV34" s="119">
        <v>23.0</v>
      </c>
      <c r="AW34" s="120">
        <v>0.0</v>
      </c>
      <c r="AX34" s="120">
        <v>59.0</v>
      </c>
      <c r="AY34" s="120">
        <v>8028.0</v>
      </c>
      <c r="AZ34" s="123">
        <v>0.007349277528649726</v>
      </c>
      <c r="BA34" s="123">
        <v>0.9926507224713502</v>
      </c>
      <c r="BB34" s="116"/>
      <c r="BC34" s="116"/>
      <c r="BD34" s="116"/>
      <c r="BE34" s="116"/>
      <c r="BF34" s="116"/>
      <c r="BG34" s="116"/>
      <c r="BH34" s="116"/>
      <c r="BI34" s="116"/>
    </row>
    <row r="35" ht="15.75" customHeight="1">
      <c r="A35" s="124"/>
      <c r="B35" s="38" t="s">
        <v>73</v>
      </c>
      <c r="C35" s="215">
        <v>6.0</v>
      </c>
      <c r="D35" s="215">
        <v>9061.0</v>
      </c>
      <c r="E35" s="215">
        <v>46.0</v>
      </c>
      <c r="F35" s="216"/>
      <c r="G35" s="217">
        <v>61.0</v>
      </c>
      <c r="H35" s="217">
        <v>6.0</v>
      </c>
      <c r="I35" s="218">
        <v>74.0</v>
      </c>
      <c r="J35" s="218">
        <v>45.0</v>
      </c>
      <c r="K35" s="218">
        <v>0.0</v>
      </c>
      <c r="L35" s="218">
        <v>90756.0</v>
      </c>
      <c r="M35" s="218">
        <v>39380.0</v>
      </c>
      <c r="N35" s="218">
        <v>87.0</v>
      </c>
      <c r="O35" s="218">
        <v>7665.0</v>
      </c>
      <c r="P35" s="219">
        <v>7048.0</v>
      </c>
      <c r="Q35" s="218">
        <v>290.0</v>
      </c>
      <c r="R35" s="218">
        <v>4.0</v>
      </c>
      <c r="S35" s="218">
        <v>12.0</v>
      </c>
      <c r="T35" s="130">
        <f t="shared" si="5"/>
        <v>9174</v>
      </c>
      <c r="U35" s="130">
        <f t="shared" si="6"/>
        <v>125</v>
      </c>
      <c r="V35" s="130">
        <f t="shared" si="7"/>
        <v>130136</v>
      </c>
      <c r="W35" s="130">
        <f t="shared" si="8"/>
        <v>15106</v>
      </c>
      <c r="X35" s="116">
        <f t="shared" si="9"/>
        <v>0.08083978093</v>
      </c>
      <c r="Y35" s="116">
        <f t="shared" si="10"/>
        <v>0.9191602191</v>
      </c>
      <c r="Z35" s="114">
        <f t="shared" si="1"/>
        <v>9299</v>
      </c>
      <c r="AA35" s="114">
        <f t="shared" si="2"/>
        <v>115030</v>
      </c>
      <c r="AB35" s="115">
        <f t="shared" si="3"/>
        <v>0.08083978093</v>
      </c>
      <c r="AC35" s="115">
        <f t="shared" si="4"/>
        <v>0.9191602191</v>
      </c>
      <c r="AD35" s="116"/>
      <c r="AE35" s="116"/>
      <c r="AF35" s="117"/>
      <c r="AG35" s="118" t="s">
        <v>73</v>
      </c>
      <c r="AH35" s="119">
        <v>51.0</v>
      </c>
      <c r="AI35" s="119">
        <v>514.0</v>
      </c>
      <c r="AJ35" s="119">
        <v>5789.0</v>
      </c>
      <c r="AK35" s="120">
        <v>304.0</v>
      </c>
      <c r="AL35" s="119">
        <v>48.0</v>
      </c>
      <c r="AM35" s="119">
        <v>49.0</v>
      </c>
      <c r="AN35" s="119">
        <v>95.0</v>
      </c>
      <c r="AO35" s="121">
        <v>83575.0</v>
      </c>
      <c r="AP35" s="131">
        <v>25752.0</v>
      </c>
      <c r="AQ35" s="119">
        <v>101.0</v>
      </c>
      <c r="AR35" s="119">
        <v>7807.0</v>
      </c>
      <c r="AS35" s="119">
        <v>6126.0</v>
      </c>
      <c r="AT35" s="119">
        <v>102.0</v>
      </c>
      <c r="AU35" s="119">
        <v>292.0</v>
      </c>
      <c r="AV35" s="119">
        <v>102.0</v>
      </c>
      <c r="AW35" s="120">
        <v>514.0</v>
      </c>
      <c r="AX35" s="120">
        <v>2012.0</v>
      </c>
      <c r="AY35" s="120">
        <v>103148.0</v>
      </c>
      <c r="AZ35" s="123">
        <v>0.01950595261178113</v>
      </c>
      <c r="BA35" s="123">
        <v>0.9804940473882189</v>
      </c>
      <c r="BB35" s="116"/>
      <c r="BC35" s="116"/>
      <c r="BD35" s="116"/>
      <c r="BE35" s="116"/>
      <c r="BF35" s="116"/>
      <c r="BG35" s="116"/>
      <c r="BH35" s="116"/>
      <c r="BI35" s="116"/>
    </row>
    <row r="36" ht="15.75" customHeight="1">
      <c r="A36" s="145"/>
      <c r="B36" s="38" t="s">
        <v>74</v>
      </c>
      <c r="C36" s="215">
        <v>1.0</v>
      </c>
      <c r="D36" s="215">
        <v>2996.0</v>
      </c>
      <c r="E36" s="215">
        <v>2.0</v>
      </c>
      <c r="F36" s="216"/>
      <c r="G36" s="217">
        <v>178.0</v>
      </c>
      <c r="H36" s="217">
        <v>138.0</v>
      </c>
      <c r="I36" s="218">
        <v>80.0</v>
      </c>
      <c r="J36" s="218">
        <v>33.0</v>
      </c>
      <c r="K36" s="218">
        <v>2.0</v>
      </c>
      <c r="L36" s="227">
        <v>4209.0</v>
      </c>
      <c r="M36" s="218">
        <v>996.0</v>
      </c>
      <c r="N36" s="218">
        <v>93.0</v>
      </c>
      <c r="O36" s="218">
        <v>25.0</v>
      </c>
      <c r="P36" s="219">
        <v>144.0</v>
      </c>
      <c r="Q36" s="218">
        <v>4.0</v>
      </c>
      <c r="R36" s="218">
        <v>0.0</v>
      </c>
      <c r="S36" s="218">
        <v>0.0</v>
      </c>
      <c r="T36" s="130">
        <f t="shared" si="5"/>
        <v>3177</v>
      </c>
      <c r="U36" s="130">
        <f t="shared" si="6"/>
        <v>253</v>
      </c>
      <c r="V36" s="130">
        <f t="shared" si="7"/>
        <v>5205</v>
      </c>
      <c r="W36" s="130">
        <f t="shared" si="8"/>
        <v>266</v>
      </c>
      <c r="X36" s="116">
        <f t="shared" si="9"/>
        <v>0.6944725653</v>
      </c>
      <c r="Y36" s="116">
        <f t="shared" si="10"/>
        <v>0.3055274347</v>
      </c>
      <c r="Z36" s="114">
        <f t="shared" si="1"/>
        <v>3430</v>
      </c>
      <c r="AA36" s="114">
        <f t="shared" si="2"/>
        <v>4939</v>
      </c>
      <c r="AB36" s="115">
        <f t="shared" si="3"/>
        <v>0.6944725653</v>
      </c>
      <c r="AC36" s="115">
        <f t="shared" si="4"/>
        <v>0.3055274347</v>
      </c>
      <c r="AD36" s="116"/>
      <c r="AE36" s="116"/>
      <c r="AF36" s="117"/>
      <c r="AG36" s="118" t="s">
        <v>74</v>
      </c>
      <c r="AH36" s="119">
        <v>1.0</v>
      </c>
      <c r="AI36" s="119">
        <v>15.0</v>
      </c>
      <c r="AJ36" s="119">
        <v>849.0</v>
      </c>
      <c r="AK36" s="120">
        <v>0.0</v>
      </c>
      <c r="AL36" s="119">
        <v>85.0</v>
      </c>
      <c r="AM36" s="119">
        <v>270.0</v>
      </c>
      <c r="AN36" s="119">
        <v>118.0</v>
      </c>
      <c r="AO36" s="146">
        <v>4283.0</v>
      </c>
      <c r="AP36" s="131">
        <v>1969.0</v>
      </c>
      <c r="AQ36" s="119">
        <v>90.0</v>
      </c>
      <c r="AR36" s="119">
        <v>19.0</v>
      </c>
      <c r="AS36" s="119">
        <v>494.0</v>
      </c>
      <c r="AT36" s="119">
        <v>379.0</v>
      </c>
      <c r="AU36" s="119">
        <v>344.0</v>
      </c>
      <c r="AV36" s="119">
        <v>379.0</v>
      </c>
      <c r="AW36" s="120">
        <v>15.0</v>
      </c>
      <c r="AX36" s="135"/>
      <c r="AY36" s="135"/>
      <c r="AZ36" s="136"/>
      <c r="BA36" s="136"/>
      <c r="BB36" s="116"/>
      <c r="BC36" s="116"/>
      <c r="BD36" s="116"/>
      <c r="BE36" s="116"/>
      <c r="BF36" s="116"/>
      <c r="BG36" s="116"/>
      <c r="BH36" s="116"/>
      <c r="BI36" s="116"/>
    </row>
    <row r="37" ht="15.75" customHeight="1">
      <c r="A37" s="145"/>
      <c r="B37" s="38" t="s">
        <v>75</v>
      </c>
      <c r="C37" s="228">
        <v>7.0</v>
      </c>
      <c r="D37" s="228">
        <v>1974.0</v>
      </c>
      <c r="E37" s="228">
        <v>36.0</v>
      </c>
      <c r="F37" s="229"/>
      <c r="G37" s="230">
        <v>0.0</v>
      </c>
      <c r="H37" s="230">
        <v>0.0</v>
      </c>
      <c r="I37" s="231">
        <v>230.0</v>
      </c>
      <c r="J37" s="231">
        <v>41.0</v>
      </c>
      <c r="K37" s="231">
        <v>0.0</v>
      </c>
      <c r="L37" s="232">
        <v>25248.0</v>
      </c>
      <c r="M37" s="231">
        <v>73923.0</v>
      </c>
      <c r="N37" s="231">
        <v>6966.0</v>
      </c>
      <c r="O37" s="231">
        <v>202.0</v>
      </c>
      <c r="P37" s="232">
        <v>0.0</v>
      </c>
      <c r="Q37" s="231">
        <v>705.0</v>
      </c>
      <c r="R37" s="231">
        <v>0.0</v>
      </c>
      <c r="S37" s="231">
        <v>69.0</v>
      </c>
      <c r="T37" s="130">
        <f t="shared" si="5"/>
        <v>2017</v>
      </c>
      <c r="U37" s="130">
        <f t="shared" si="6"/>
        <v>271</v>
      </c>
      <c r="V37" s="130">
        <f t="shared" si="7"/>
        <v>99171</v>
      </c>
      <c r="W37" s="130">
        <f t="shared" si="8"/>
        <v>7942</v>
      </c>
      <c r="X37" s="116">
        <f t="shared" si="9"/>
        <v>0.02507974438</v>
      </c>
      <c r="Y37" s="116">
        <f t="shared" si="10"/>
        <v>0.9749202556</v>
      </c>
      <c r="Z37" s="114">
        <f t="shared" si="1"/>
        <v>2288</v>
      </c>
      <c r="AA37" s="114">
        <f t="shared" si="2"/>
        <v>91229</v>
      </c>
      <c r="AB37" s="115">
        <f t="shared" si="3"/>
        <v>0.02507974438</v>
      </c>
      <c r="AC37" s="115">
        <f t="shared" si="4"/>
        <v>0.9749202556</v>
      </c>
      <c r="AD37" s="116"/>
      <c r="AE37" s="116"/>
      <c r="AF37" s="117"/>
      <c r="AG37" s="118" t="s">
        <v>75</v>
      </c>
      <c r="AH37" s="119">
        <v>4.0</v>
      </c>
      <c r="AI37" s="119">
        <v>12.0</v>
      </c>
      <c r="AJ37" s="119">
        <v>1863.0</v>
      </c>
      <c r="AK37" s="120">
        <v>37.0</v>
      </c>
      <c r="AL37" s="119">
        <v>26.0</v>
      </c>
      <c r="AM37" s="119">
        <v>38.0</v>
      </c>
      <c r="AN37" s="119">
        <v>13.0</v>
      </c>
      <c r="AO37" s="146">
        <v>26665.0</v>
      </c>
      <c r="AP37" s="131">
        <v>15825.0</v>
      </c>
      <c r="AQ37" s="119">
        <v>2601.0</v>
      </c>
      <c r="AR37" s="119">
        <v>129.0</v>
      </c>
      <c r="AS37" s="119">
        <v>0.0</v>
      </c>
      <c r="AT37" s="119">
        <v>40.0</v>
      </c>
      <c r="AU37" s="119">
        <v>70.0</v>
      </c>
      <c r="AV37" s="119">
        <v>40.0</v>
      </c>
      <c r="AW37" s="120">
        <v>12.0</v>
      </c>
      <c r="AX37" s="120">
        <v>1251.0</v>
      </c>
      <c r="AY37" s="120">
        <v>56705.0</v>
      </c>
      <c r="AZ37" s="123">
        <v>0.02206154660082885</v>
      </c>
      <c r="BA37" s="123">
        <v>0.9779384533991712</v>
      </c>
      <c r="BB37" s="116"/>
      <c r="BC37" s="116"/>
      <c r="BD37" s="116"/>
      <c r="BE37" s="116"/>
      <c r="BF37" s="116"/>
      <c r="BG37" s="116"/>
      <c r="BH37" s="116"/>
      <c r="BI37" s="116"/>
    </row>
    <row r="38" ht="25.5" customHeight="1">
      <c r="A38" s="152"/>
      <c r="B38" s="153" t="s">
        <v>38</v>
      </c>
      <c r="C38" s="154">
        <f t="shared" ref="C38:W38" si="11">SUM(C6:C37)</f>
        <v>43194</v>
      </c>
      <c r="D38" s="154">
        <f t="shared" si="11"/>
        <v>119153</v>
      </c>
      <c r="E38" s="154">
        <f t="shared" si="11"/>
        <v>7103</v>
      </c>
      <c r="F38" s="154">
        <f t="shared" si="11"/>
        <v>0</v>
      </c>
      <c r="G38" s="154">
        <f t="shared" si="11"/>
        <v>16251</v>
      </c>
      <c r="H38" s="154">
        <f t="shared" si="11"/>
        <v>20292</v>
      </c>
      <c r="I38" s="154">
        <f t="shared" si="11"/>
        <v>8210</v>
      </c>
      <c r="J38" s="154">
        <f t="shared" si="11"/>
        <v>1775</v>
      </c>
      <c r="K38" s="154">
        <f t="shared" si="11"/>
        <v>142</v>
      </c>
      <c r="L38" s="154">
        <f t="shared" si="11"/>
        <v>2062157</v>
      </c>
      <c r="M38" s="154">
        <f t="shared" si="11"/>
        <v>1855710</v>
      </c>
      <c r="N38" s="154">
        <f t="shared" si="11"/>
        <v>40098</v>
      </c>
      <c r="O38" s="154">
        <f t="shared" si="11"/>
        <v>111584</v>
      </c>
      <c r="P38" s="154">
        <f t="shared" si="11"/>
        <v>440693</v>
      </c>
      <c r="Q38" s="154">
        <f t="shared" si="11"/>
        <v>9586</v>
      </c>
      <c r="R38" s="154">
        <f t="shared" si="11"/>
        <v>20296</v>
      </c>
      <c r="S38" s="155">
        <f t="shared" si="11"/>
        <v>3644</v>
      </c>
      <c r="T38" s="155">
        <f t="shared" si="11"/>
        <v>185701</v>
      </c>
      <c r="U38" s="155">
        <f t="shared" si="11"/>
        <v>30419</v>
      </c>
      <c r="V38" s="155">
        <f t="shared" si="11"/>
        <v>3917867</v>
      </c>
      <c r="W38" s="155">
        <f t="shared" si="11"/>
        <v>625901</v>
      </c>
      <c r="X38" s="156">
        <f t="shared" si="9"/>
        <v>0.0656507388</v>
      </c>
      <c r="Y38" s="156">
        <f t="shared" si="10"/>
        <v>0.9343492612</v>
      </c>
      <c r="Z38" s="155">
        <f t="shared" ref="Z38:AA38" si="12">SUM(Z6:Z37)</f>
        <v>216120</v>
      </c>
      <c r="AA38" s="155">
        <f t="shared" si="12"/>
        <v>3291966</v>
      </c>
      <c r="AB38" s="157">
        <f t="shared" si="3"/>
        <v>0.0656507388</v>
      </c>
      <c r="AC38" s="157">
        <f t="shared" si="4"/>
        <v>0.9343492612</v>
      </c>
      <c r="AD38" s="158"/>
      <c r="AE38" s="158"/>
      <c r="AF38" s="159"/>
      <c r="AG38" s="160" t="s">
        <v>38</v>
      </c>
      <c r="AH38" s="154">
        <v>27858.0</v>
      </c>
      <c r="AI38" s="154">
        <v>19864.0</v>
      </c>
      <c r="AJ38" s="154">
        <v>86192.0</v>
      </c>
      <c r="AK38" s="154">
        <v>2167.0</v>
      </c>
      <c r="AL38" s="154">
        <v>8029.0</v>
      </c>
      <c r="AM38" s="154">
        <v>9161.0</v>
      </c>
      <c r="AN38" s="154">
        <v>2228.0</v>
      </c>
      <c r="AO38" s="161">
        <v>2139747.0</v>
      </c>
      <c r="AP38" s="154">
        <v>1176019.0</v>
      </c>
      <c r="AQ38" s="154">
        <v>29955.0</v>
      </c>
      <c r="AR38" s="154">
        <v>86911.0</v>
      </c>
      <c r="AS38" s="154">
        <v>202530.0</v>
      </c>
      <c r="AT38" s="154">
        <v>4449.0</v>
      </c>
      <c r="AU38" s="154">
        <v>4069.0</v>
      </c>
      <c r="AV38" s="154">
        <v>4449.0</v>
      </c>
      <c r="AW38" s="154">
        <v>19864.0</v>
      </c>
      <c r="AX38" s="135">
        <v>192716.0</v>
      </c>
      <c r="AY38" s="135">
        <v>4420325.0</v>
      </c>
      <c r="AZ38" s="136">
        <v>0.04359769926419437</v>
      </c>
      <c r="BA38" s="162">
        <v>0.9564023007358057</v>
      </c>
      <c r="BB38" s="158"/>
      <c r="BC38" s="158"/>
      <c r="BD38" s="158"/>
      <c r="BE38" s="158"/>
      <c r="BF38" s="158"/>
      <c r="BG38" s="158"/>
      <c r="BH38" s="158"/>
      <c r="BI38" s="158"/>
    </row>
    <row r="39" ht="15.75" customHeight="1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4"/>
      <c r="AU39" s="164"/>
      <c r="AV39" s="164"/>
      <c r="AW39" s="164"/>
      <c r="AX39" s="164"/>
      <c r="AY39" s="164"/>
      <c r="AZ39" s="164"/>
      <c r="BA39" s="164"/>
      <c r="BB39" s="164"/>
      <c r="BC39" s="164"/>
      <c r="BD39" s="164"/>
      <c r="BE39" s="164"/>
      <c r="BF39" s="164"/>
      <c r="BG39" s="164"/>
      <c r="BH39" s="164"/>
      <c r="BI39" s="164"/>
    </row>
    <row r="40" ht="15.75" customHeight="1">
      <c r="A40" s="163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BB40" s="164"/>
      <c r="BC40" s="164"/>
      <c r="BD40" s="164"/>
      <c r="BE40" s="164"/>
      <c r="BF40" s="164"/>
      <c r="BG40" s="164"/>
      <c r="BH40" s="164"/>
      <c r="BI40" s="164"/>
    </row>
    <row r="41" ht="15.75" customHeight="1">
      <c r="A41" s="164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64"/>
      <c r="BG41" s="164"/>
      <c r="BH41" s="164"/>
      <c r="BI41" s="164"/>
    </row>
    <row r="42" ht="15.75" customHeight="1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</row>
    <row r="43" ht="15.75" customHeight="1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64"/>
      <c r="BH43" s="164"/>
      <c r="BI43" s="164"/>
    </row>
    <row r="44" ht="15.75" customHeight="1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</row>
    <row r="45" ht="15.75" customHeight="1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</row>
    <row r="46" ht="15.75" customHeight="1">
      <c r="A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</row>
    <row r="47" ht="15.75" customHeight="1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</row>
    <row r="48" ht="15.75" customHeight="1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</row>
    <row r="49" ht="15.75" customHeight="1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</row>
    <row r="50" ht="15.75" customHeight="1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</row>
    <row r="51" ht="15.75" customHeight="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</row>
    <row r="52" ht="15.75" customHeight="1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</row>
    <row r="53" ht="15.75" customHeight="1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</row>
    <row r="54" ht="15.75" customHeight="1">
      <c r="A54" s="165"/>
      <c r="B54" s="165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</row>
    <row r="55" ht="15.75" customHeight="1">
      <c r="A55" s="164"/>
      <c r="B55" s="166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</row>
    <row r="56" ht="15.75" customHeight="1">
      <c r="A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</row>
    <row r="57" ht="15.75" customHeight="1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</row>
    <row r="58" ht="15.75" customHeight="1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</row>
    <row r="59" ht="15.75" customHeight="1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</row>
    <row r="60" ht="15.75" customHeight="1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</row>
    <row r="61" ht="15.75" customHeight="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</row>
    <row r="62" ht="15.75" customHeight="1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</row>
    <row r="63" ht="15.75" customHeight="1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</row>
    <row r="64" ht="15.75" customHeight="1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</row>
    <row r="65" ht="15.75" customHeight="1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</row>
    <row r="66" ht="15.75" customHeight="1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</row>
    <row r="67" ht="15.75" customHeight="1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</row>
    <row r="68" ht="15.75" customHeight="1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</row>
    <row r="69" ht="15.75" customHeight="1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</row>
    <row r="70" ht="15.75" customHeight="1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</row>
    <row r="71" ht="15.75" customHeight="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</row>
    <row r="72" ht="15.75" customHeight="1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</row>
    <row r="73" ht="15.75" customHeight="1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</row>
    <row r="74" ht="15.75" customHeight="1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</row>
    <row r="75" ht="15.75" customHeight="1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</row>
    <row r="76" ht="15.75" customHeight="1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</row>
    <row r="77" ht="15.75" customHeight="1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</row>
    <row r="78" ht="15.75" customHeight="1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</row>
    <row r="79" ht="15.75" customHeight="1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</row>
    <row r="80" ht="15.75" customHeight="1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</row>
    <row r="81" ht="15.75" customHeight="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</row>
    <row r="82" ht="15.75" customHeight="1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</row>
    <row r="83" ht="15.75" customHeight="1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  <c r="BF83" s="164"/>
      <c r="BG83" s="164"/>
      <c r="BH83" s="164"/>
      <c r="BI83" s="164"/>
    </row>
    <row r="84" ht="15.75" customHeight="1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  <c r="BH84" s="164"/>
      <c r="BI84" s="164"/>
    </row>
    <row r="85" ht="15.75" customHeight="1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F85" s="164"/>
      <c r="BG85" s="164"/>
      <c r="BH85" s="164"/>
      <c r="BI85" s="164"/>
    </row>
    <row r="86" ht="15.75" customHeight="1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</row>
    <row r="87" ht="15.75" customHeight="1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  <c r="BH87" s="164"/>
      <c r="BI87" s="164"/>
    </row>
    <row r="88" ht="15.75" customHeight="1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  <c r="BF88" s="164"/>
      <c r="BG88" s="164"/>
      <c r="BH88" s="164"/>
      <c r="BI88" s="164"/>
    </row>
    <row r="89" ht="15.75" customHeight="1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4"/>
      <c r="BD89" s="164"/>
      <c r="BE89" s="164"/>
      <c r="BF89" s="164"/>
      <c r="BG89" s="164"/>
      <c r="BH89" s="164"/>
      <c r="BI89" s="164"/>
    </row>
    <row r="90" ht="15.75" customHeight="1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  <c r="BH90" s="164"/>
      <c r="BI90" s="164"/>
    </row>
    <row r="91" ht="15.75" customHeight="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  <c r="AS91" s="164"/>
      <c r="AT91" s="164"/>
      <c r="AU91" s="164"/>
      <c r="AV91" s="164"/>
      <c r="AW91" s="164"/>
      <c r="AX91" s="164"/>
      <c r="AY91" s="164"/>
      <c r="AZ91" s="164"/>
      <c r="BA91" s="164"/>
      <c r="BB91" s="164"/>
      <c r="BC91" s="164"/>
      <c r="BD91" s="164"/>
      <c r="BE91" s="164"/>
      <c r="BF91" s="164"/>
      <c r="BG91" s="164"/>
      <c r="BH91" s="164"/>
      <c r="BI91" s="164"/>
    </row>
    <row r="92" ht="15.75" customHeight="1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164"/>
      <c r="BB92" s="164"/>
      <c r="BC92" s="164"/>
      <c r="BD92" s="164"/>
      <c r="BE92" s="164"/>
      <c r="BF92" s="164"/>
      <c r="BG92" s="164"/>
      <c r="BH92" s="164"/>
      <c r="BI92" s="164"/>
    </row>
    <row r="93" ht="15.75" customHeight="1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  <c r="AR93" s="164"/>
      <c r="AS93" s="164"/>
      <c r="AT93" s="164"/>
      <c r="AU93" s="164"/>
      <c r="AV93" s="164"/>
      <c r="AW93" s="164"/>
      <c r="AX93" s="164"/>
      <c r="AY93" s="164"/>
      <c r="AZ93" s="164"/>
      <c r="BA93" s="164"/>
      <c r="BB93" s="164"/>
      <c r="BC93" s="164"/>
      <c r="BD93" s="164"/>
      <c r="BE93" s="164"/>
      <c r="BF93" s="164"/>
      <c r="BG93" s="164"/>
      <c r="BH93" s="164"/>
      <c r="BI93" s="164"/>
    </row>
    <row r="94" ht="15.75" customHeight="1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  <c r="AO94" s="164"/>
      <c r="AP94" s="164"/>
      <c r="AQ94" s="164"/>
      <c r="AR94" s="164"/>
      <c r="AS94" s="164"/>
      <c r="AT94" s="164"/>
      <c r="AU94" s="164"/>
      <c r="AV94" s="164"/>
      <c r="AW94" s="164"/>
      <c r="AX94" s="164"/>
      <c r="AY94" s="164"/>
      <c r="AZ94" s="164"/>
      <c r="BA94" s="164"/>
      <c r="BB94" s="164"/>
      <c r="BC94" s="164"/>
      <c r="BD94" s="164"/>
      <c r="BE94" s="164"/>
      <c r="BF94" s="164"/>
      <c r="BG94" s="164"/>
      <c r="BH94" s="164"/>
      <c r="BI94" s="164"/>
    </row>
    <row r="95" ht="15.75" customHeight="1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64"/>
      <c r="AO95" s="164"/>
      <c r="AP95" s="164"/>
      <c r="AQ95" s="164"/>
      <c r="AR95" s="164"/>
      <c r="AS95" s="164"/>
      <c r="AT95" s="164"/>
      <c r="AU95" s="164"/>
      <c r="AV95" s="164"/>
      <c r="AW95" s="164"/>
      <c r="AX95" s="164"/>
      <c r="AY95" s="164"/>
      <c r="AZ95" s="164"/>
      <c r="BA95" s="164"/>
      <c r="BB95" s="164"/>
      <c r="BC95" s="164"/>
      <c r="BD95" s="164"/>
      <c r="BE95" s="164"/>
      <c r="BF95" s="164"/>
      <c r="BG95" s="164"/>
      <c r="BH95" s="164"/>
      <c r="BI95" s="164"/>
    </row>
    <row r="96" ht="15.75" customHeight="1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  <c r="AR96" s="164"/>
      <c r="AS96" s="164"/>
      <c r="AT96" s="164"/>
      <c r="AU96" s="164"/>
      <c r="AV96" s="164"/>
      <c r="AW96" s="164"/>
      <c r="AX96" s="164"/>
      <c r="AY96" s="164"/>
      <c r="AZ96" s="164"/>
      <c r="BA96" s="164"/>
      <c r="BB96" s="164"/>
      <c r="BC96" s="164"/>
      <c r="BD96" s="164"/>
      <c r="BE96" s="164"/>
      <c r="BF96" s="164"/>
      <c r="BG96" s="164"/>
      <c r="BH96" s="164"/>
      <c r="BI96" s="164"/>
    </row>
    <row r="97" ht="15.75" customHeight="1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</row>
    <row r="98" ht="15.75" customHeight="1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  <c r="AM98" s="164"/>
      <c r="AN98" s="164"/>
      <c r="AO98" s="164"/>
      <c r="AP98" s="164"/>
      <c r="AQ98" s="164"/>
      <c r="AR98" s="164"/>
      <c r="AS98" s="164"/>
      <c r="AT98" s="164"/>
      <c r="AU98" s="164"/>
      <c r="AV98" s="164"/>
      <c r="AW98" s="164"/>
      <c r="AX98" s="164"/>
      <c r="AY98" s="164"/>
      <c r="AZ98" s="164"/>
      <c r="BA98" s="164"/>
      <c r="BB98" s="164"/>
      <c r="BC98" s="164"/>
      <c r="BD98" s="164"/>
      <c r="BE98" s="164"/>
      <c r="BF98" s="164"/>
      <c r="BG98" s="164"/>
      <c r="BH98" s="164"/>
      <c r="BI98" s="164"/>
    </row>
    <row r="99" ht="15.75" customHeight="1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  <c r="AO99" s="164"/>
      <c r="AP99" s="164"/>
      <c r="AQ99" s="164"/>
      <c r="AR99" s="164"/>
      <c r="AS99" s="164"/>
      <c r="AT99" s="164"/>
      <c r="AU99" s="164"/>
      <c r="AV99" s="164"/>
      <c r="AW99" s="164"/>
      <c r="AX99" s="164"/>
      <c r="AY99" s="164"/>
      <c r="AZ99" s="164"/>
      <c r="BA99" s="164"/>
      <c r="BB99" s="164"/>
      <c r="BC99" s="164"/>
      <c r="BD99" s="164"/>
      <c r="BE99" s="164"/>
      <c r="BF99" s="164"/>
      <c r="BG99" s="164"/>
      <c r="BH99" s="164"/>
      <c r="BI99" s="164"/>
    </row>
    <row r="100" ht="15.75" customHeight="1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  <c r="AO100" s="164"/>
      <c r="AP100" s="164"/>
      <c r="AQ100" s="164"/>
      <c r="AR100" s="164"/>
      <c r="AS100" s="164"/>
      <c r="AT100" s="164"/>
      <c r="AU100" s="164"/>
      <c r="AV100" s="164"/>
      <c r="AW100" s="164"/>
      <c r="AX100" s="164"/>
      <c r="AY100" s="164"/>
      <c r="AZ100" s="164"/>
      <c r="BA100" s="164"/>
      <c r="BB100" s="164"/>
      <c r="BC100" s="164"/>
      <c r="BD100" s="164"/>
      <c r="BE100" s="164"/>
      <c r="BF100" s="164"/>
      <c r="BG100" s="164"/>
      <c r="BH100" s="164"/>
      <c r="BI100" s="164"/>
    </row>
    <row r="101" ht="15.75" customHeight="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  <c r="AO101" s="164"/>
      <c r="AP101" s="164"/>
      <c r="AQ101" s="164"/>
      <c r="AR101" s="164"/>
      <c r="AS101" s="164"/>
      <c r="AT101" s="164"/>
      <c r="AU101" s="164"/>
      <c r="AV101" s="164"/>
      <c r="AW101" s="164"/>
      <c r="AX101" s="164"/>
      <c r="AY101" s="164"/>
      <c r="AZ101" s="164"/>
      <c r="BA101" s="164"/>
      <c r="BB101" s="164"/>
      <c r="BC101" s="164"/>
      <c r="BD101" s="164"/>
      <c r="BE101" s="164"/>
      <c r="BF101" s="164"/>
      <c r="BG101" s="164"/>
      <c r="BH101" s="164"/>
      <c r="BI101" s="164"/>
    </row>
    <row r="102" ht="15.75" customHeight="1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  <c r="AO102" s="164"/>
      <c r="AP102" s="164"/>
      <c r="AQ102" s="164"/>
      <c r="AR102" s="164"/>
      <c r="AS102" s="164"/>
      <c r="AT102" s="164"/>
      <c r="AU102" s="164"/>
      <c r="AV102" s="164"/>
      <c r="AW102" s="164"/>
      <c r="AX102" s="164"/>
      <c r="AY102" s="164"/>
      <c r="AZ102" s="164"/>
      <c r="BA102" s="164"/>
      <c r="BB102" s="164"/>
      <c r="BC102" s="164"/>
      <c r="BD102" s="164"/>
      <c r="BE102" s="164"/>
      <c r="BF102" s="164"/>
      <c r="BG102" s="164"/>
      <c r="BH102" s="164"/>
      <c r="BI102" s="164"/>
    </row>
    <row r="103" ht="15.75" customHeight="1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/>
      <c r="AL103" s="164"/>
      <c r="AM103" s="164"/>
      <c r="AN103" s="164"/>
      <c r="AO103" s="164"/>
      <c r="AP103" s="164"/>
      <c r="AQ103" s="164"/>
      <c r="AR103" s="164"/>
      <c r="AS103" s="164"/>
      <c r="AT103" s="164"/>
      <c r="AU103" s="164"/>
      <c r="AV103" s="164"/>
      <c r="AW103" s="164"/>
      <c r="AX103" s="164"/>
      <c r="AY103" s="164"/>
      <c r="AZ103" s="164"/>
      <c r="BA103" s="164"/>
      <c r="BB103" s="164"/>
      <c r="BC103" s="164"/>
      <c r="BD103" s="164"/>
      <c r="BE103" s="164"/>
      <c r="BF103" s="164"/>
      <c r="BG103" s="164"/>
      <c r="BH103" s="164"/>
      <c r="BI103" s="164"/>
    </row>
    <row r="104" ht="15.75" customHeight="1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4"/>
      <c r="AT104" s="164"/>
      <c r="AU104" s="164"/>
      <c r="AV104" s="164"/>
      <c r="AW104" s="164"/>
      <c r="AX104" s="164"/>
      <c r="AY104" s="164"/>
      <c r="AZ104" s="164"/>
      <c r="BA104" s="164"/>
      <c r="BB104" s="164"/>
      <c r="BC104" s="164"/>
      <c r="BD104" s="164"/>
      <c r="BE104" s="164"/>
      <c r="BF104" s="164"/>
      <c r="BG104" s="164"/>
      <c r="BH104" s="164"/>
      <c r="BI104" s="164"/>
    </row>
    <row r="105" ht="15.75" customHeight="1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4"/>
      <c r="AT105" s="164"/>
      <c r="AU105" s="164"/>
      <c r="AV105" s="164"/>
      <c r="AW105" s="164"/>
      <c r="AX105" s="164"/>
      <c r="AY105" s="164"/>
      <c r="AZ105" s="164"/>
      <c r="BA105" s="164"/>
      <c r="BB105" s="164"/>
      <c r="BC105" s="164"/>
      <c r="BD105" s="164"/>
      <c r="BE105" s="164"/>
      <c r="BF105" s="164"/>
      <c r="BG105" s="164"/>
      <c r="BH105" s="164"/>
      <c r="BI105" s="164"/>
    </row>
    <row r="106" ht="15.75" customHeight="1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4"/>
      <c r="AT106" s="164"/>
      <c r="AU106" s="164"/>
      <c r="AV106" s="164"/>
      <c r="AW106" s="164"/>
      <c r="AX106" s="164"/>
      <c r="AY106" s="164"/>
      <c r="AZ106" s="164"/>
      <c r="BA106" s="164"/>
      <c r="BB106" s="164"/>
      <c r="BC106" s="164"/>
      <c r="BD106" s="164"/>
      <c r="BE106" s="164"/>
      <c r="BF106" s="164"/>
      <c r="BG106" s="164"/>
      <c r="BH106" s="164"/>
      <c r="BI106" s="164"/>
    </row>
    <row r="107" ht="15.75" customHeight="1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4"/>
      <c r="AT107" s="164"/>
      <c r="AU107" s="164"/>
      <c r="AV107" s="164"/>
      <c r="AW107" s="164"/>
      <c r="AX107" s="164"/>
      <c r="AY107" s="164"/>
      <c r="AZ107" s="164"/>
      <c r="BA107" s="164"/>
      <c r="BB107" s="164"/>
      <c r="BC107" s="164"/>
      <c r="BD107" s="164"/>
      <c r="BE107" s="164"/>
      <c r="BF107" s="164"/>
      <c r="BG107" s="164"/>
      <c r="BH107" s="164"/>
      <c r="BI107" s="164"/>
    </row>
    <row r="108" ht="15.75" customHeight="1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  <c r="AR108" s="164"/>
      <c r="AS108" s="164"/>
      <c r="AT108" s="164"/>
      <c r="AU108" s="164"/>
      <c r="AV108" s="164"/>
      <c r="AW108" s="164"/>
      <c r="AX108" s="164"/>
      <c r="AY108" s="164"/>
      <c r="AZ108" s="164"/>
      <c r="BA108" s="164"/>
      <c r="BB108" s="164"/>
      <c r="BC108" s="164"/>
      <c r="BD108" s="164"/>
      <c r="BE108" s="164"/>
      <c r="BF108" s="164"/>
      <c r="BG108" s="164"/>
      <c r="BH108" s="164"/>
      <c r="BI108" s="164"/>
    </row>
    <row r="109" ht="15.75" customHeight="1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  <c r="AM109" s="164"/>
      <c r="AN109" s="164"/>
      <c r="AO109" s="164"/>
      <c r="AP109" s="164"/>
      <c r="AQ109" s="164"/>
      <c r="AR109" s="164"/>
      <c r="AS109" s="164"/>
      <c r="AT109" s="164"/>
      <c r="AU109" s="164"/>
      <c r="AV109" s="164"/>
      <c r="AW109" s="164"/>
      <c r="AX109" s="164"/>
      <c r="AY109" s="164"/>
      <c r="AZ109" s="164"/>
      <c r="BA109" s="164"/>
      <c r="BB109" s="164"/>
      <c r="BC109" s="164"/>
      <c r="BD109" s="164"/>
      <c r="BE109" s="164"/>
      <c r="BF109" s="164"/>
      <c r="BG109" s="164"/>
      <c r="BH109" s="164"/>
      <c r="BI109" s="164"/>
    </row>
    <row r="110" ht="15.75" customHeight="1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64"/>
      <c r="AO110" s="164"/>
      <c r="AP110" s="164"/>
      <c r="AQ110" s="164"/>
      <c r="AR110" s="164"/>
      <c r="AS110" s="164"/>
      <c r="AT110" s="164"/>
      <c r="AU110" s="164"/>
      <c r="AV110" s="164"/>
      <c r="AW110" s="164"/>
      <c r="AX110" s="164"/>
      <c r="AY110" s="164"/>
      <c r="AZ110" s="164"/>
      <c r="BA110" s="164"/>
      <c r="BB110" s="164"/>
      <c r="BC110" s="164"/>
      <c r="BD110" s="164"/>
      <c r="BE110" s="164"/>
      <c r="BF110" s="164"/>
      <c r="BG110" s="164"/>
      <c r="BH110" s="164"/>
      <c r="BI110" s="164"/>
    </row>
    <row r="111" ht="15.75" customHeight="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  <c r="AM111" s="164"/>
      <c r="AN111" s="164"/>
      <c r="AO111" s="164"/>
      <c r="AP111" s="164"/>
      <c r="AQ111" s="164"/>
      <c r="AR111" s="164"/>
      <c r="AS111" s="164"/>
      <c r="AT111" s="164"/>
      <c r="AU111" s="164"/>
      <c r="AV111" s="164"/>
      <c r="AW111" s="164"/>
      <c r="AX111" s="164"/>
      <c r="AY111" s="164"/>
      <c r="AZ111" s="164"/>
      <c r="BA111" s="164"/>
      <c r="BB111" s="164"/>
      <c r="BC111" s="164"/>
      <c r="BD111" s="164"/>
      <c r="BE111" s="164"/>
      <c r="BF111" s="164"/>
      <c r="BG111" s="164"/>
      <c r="BH111" s="164"/>
      <c r="BI111" s="164"/>
    </row>
    <row r="112" ht="15.75" customHeight="1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64"/>
      <c r="AO112" s="164"/>
      <c r="AP112" s="164"/>
      <c r="AQ112" s="164"/>
      <c r="AR112" s="164"/>
      <c r="AS112" s="164"/>
      <c r="AT112" s="164"/>
      <c r="AU112" s="164"/>
      <c r="AV112" s="164"/>
      <c r="AW112" s="164"/>
      <c r="AX112" s="164"/>
      <c r="AY112" s="164"/>
      <c r="AZ112" s="164"/>
      <c r="BA112" s="164"/>
      <c r="BB112" s="164"/>
      <c r="BC112" s="164"/>
      <c r="BD112" s="164"/>
      <c r="BE112" s="164"/>
      <c r="BF112" s="164"/>
      <c r="BG112" s="164"/>
      <c r="BH112" s="164"/>
      <c r="BI112" s="164"/>
    </row>
    <row r="113" ht="15.75" customHeight="1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  <c r="AM113" s="164"/>
      <c r="AN113" s="164"/>
      <c r="AO113" s="164"/>
      <c r="AP113" s="164"/>
      <c r="AQ113" s="164"/>
      <c r="AR113" s="164"/>
      <c r="AS113" s="164"/>
      <c r="AT113" s="164"/>
      <c r="AU113" s="164"/>
      <c r="AV113" s="164"/>
      <c r="AW113" s="164"/>
      <c r="AX113" s="164"/>
      <c r="AY113" s="164"/>
      <c r="AZ113" s="164"/>
      <c r="BA113" s="164"/>
      <c r="BB113" s="164"/>
      <c r="BC113" s="164"/>
      <c r="BD113" s="164"/>
      <c r="BE113" s="164"/>
      <c r="BF113" s="164"/>
      <c r="BG113" s="164"/>
      <c r="BH113" s="164"/>
      <c r="BI113" s="164"/>
    </row>
    <row r="114" ht="15.75" customHeight="1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  <c r="AM114" s="164"/>
      <c r="AN114" s="164"/>
      <c r="AO114" s="164"/>
      <c r="AP114" s="164"/>
      <c r="AQ114" s="164"/>
      <c r="AR114" s="164"/>
      <c r="AS114" s="164"/>
      <c r="AT114" s="164"/>
      <c r="AU114" s="164"/>
      <c r="AV114" s="164"/>
      <c r="AW114" s="164"/>
      <c r="AX114" s="164"/>
      <c r="AY114" s="164"/>
      <c r="AZ114" s="164"/>
      <c r="BA114" s="164"/>
      <c r="BB114" s="164"/>
      <c r="BC114" s="164"/>
      <c r="BD114" s="164"/>
      <c r="BE114" s="164"/>
      <c r="BF114" s="164"/>
      <c r="BG114" s="164"/>
      <c r="BH114" s="164"/>
      <c r="BI114" s="164"/>
    </row>
    <row r="115" ht="15.75" customHeight="1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  <c r="AM115" s="164"/>
      <c r="AN115" s="164"/>
      <c r="AO115" s="164"/>
      <c r="AP115" s="164"/>
      <c r="AQ115" s="164"/>
      <c r="AR115" s="164"/>
      <c r="AS115" s="164"/>
      <c r="AT115" s="164"/>
      <c r="AU115" s="164"/>
      <c r="AV115" s="164"/>
      <c r="AW115" s="164"/>
      <c r="AX115" s="164"/>
      <c r="AY115" s="164"/>
      <c r="AZ115" s="164"/>
      <c r="BA115" s="164"/>
      <c r="BB115" s="164"/>
      <c r="BC115" s="164"/>
      <c r="BD115" s="164"/>
      <c r="BE115" s="164"/>
      <c r="BF115" s="164"/>
      <c r="BG115" s="164"/>
      <c r="BH115" s="164"/>
      <c r="BI115" s="164"/>
    </row>
    <row r="116" ht="15.75" customHeight="1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  <c r="AM116" s="164"/>
      <c r="AN116" s="164"/>
      <c r="AO116" s="164"/>
      <c r="AP116" s="164"/>
      <c r="AQ116" s="164"/>
      <c r="AR116" s="164"/>
      <c r="AS116" s="164"/>
      <c r="AT116" s="164"/>
      <c r="AU116" s="164"/>
      <c r="AV116" s="164"/>
      <c r="AW116" s="164"/>
      <c r="AX116" s="164"/>
      <c r="AY116" s="164"/>
      <c r="AZ116" s="164"/>
      <c r="BA116" s="164"/>
      <c r="BB116" s="164"/>
      <c r="BC116" s="164"/>
      <c r="BD116" s="164"/>
      <c r="BE116" s="164"/>
      <c r="BF116" s="164"/>
      <c r="BG116" s="164"/>
      <c r="BH116" s="164"/>
      <c r="BI116" s="164"/>
    </row>
    <row r="117" ht="15.75" customHeight="1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  <c r="AJ117" s="164"/>
      <c r="AK117" s="164"/>
      <c r="AL117" s="164"/>
      <c r="AM117" s="164"/>
      <c r="AN117" s="164"/>
      <c r="AO117" s="164"/>
      <c r="AP117" s="164"/>
      <c r="AQ117" s="164"/>
      <c r="AR117" s="164"/>
      <c r="AS117" s="164"/>
      <c r="AT117" s="164"/>
      <c r="AU117" s="164"/>
      <c r="AV117" s="164"/>
      <c r="AW117" s="164"/>
      <c r="AX117" s="164"/>
      <c r="AY117" s="164"/>
      <c r="AZ117" s="164"/>
      <c r="BA117" s="164"/>
      <c r="BB117" s="164"/>
      <c r="BC117" s="164"/>
      <c r="BD117" s="164"/>
      <c r="BE117" s="164"/>
      <c r="BF117" s="164"/>
      <c r="BG117" s="164"/>
      <c r="BH117" s="164"/>
      <c r="BI117" s="164"/>
    </row>
    <row r="118" ht="15.75" customHeight="1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64"/>
      <c r="AJ118" s="164"/>
      <c r="AK118" s="164"/>
      <c r="AL118" s="164"/>
      <c r="AM118" s="164"/>
      <c r="AN118" s="164"/>
      <c r="AO118" s="164"/>
      <c r="AP118" s="164"/>
      <c r="AQ118" s="164"/>
      <c r="AR118" s="164"/>
      <c r="AS118" s="164"/>
      <c r="AT118" s="164"/>
      <c r="AU118" s="164"/>
      <c r="AV118" s="164"/>
      <c r="AW118" s="164"/>
      <c r="AX118" s="164"/>
      <c r="AY118" s="164"/>
      <c r="AZ118" s="164"/>
      <c r="BA118" s="164"/>
      <c r="BB118" s="164"/>
      <c r="BC118" s="164"/>
      <c r="BD118" s="164"/>
      <c r="BE118" s="164"/>
      <c r="BF118" s="164"/>
      <c r="BG118" s="164"/>
      <c r="BH118" s="164"/>
      <c r="BI118" s="164"/>
    </row>
    <row r="119" ht="15.75" customHeight="1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64"/>
      <c r="AK119" s="164"/>
      <c r="AL119" s="164"/>
      <c r="AM119" s="164"/>
      <c r="AN119" s="164"/>
      <c r="AO119" s="164"/>
      <c r="AP119" s="164"/>
      <c r="AQ119" s="164"/>
      <c r="AR119" s="164"/>
      <c r="AS119" s="164"/>
      <c r="AT119" s="164"/>
      <c r="AU119" s="164"/>
      <c r="AV119" s="164"/>
      <c r="AW119" s="164"/>
      <c r="AX119" s="164"/>
      <c r="AY119" s="164"/>
      <c r="AZ119" s="164"/>
      <c r="BA119" s="164"/>
      <c r="BB119" s="164"/>
      <c r="BC119" s="164"/>
      <c r="BD119" s="164"/>
      <c r="BE119" s="164"/>
      <c r="BF119" s="164"/>
      <c r="BG119" s="164"/>
      <c r="BH119" s="164"/>
      <c r="BI119" s="164"/>
    </row>
    <row r="120" ht="15.75" customHeight="1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  <c r="AO120" s="164"/>
      <c r="AP120" s="164"/>
      <c r="AQ120" s="164"/>
      <c r="AR120" s="164"/>
      <c r="AS120" s="164"/>
      <c r="AT120" s="164"/>
      <c r="AU120" s="164"/>
      <c r="AV120" s="164"/>
      <c r="AW120" s="164"/>
      <c r="AX120" s="164"/>
      <c r="AY120" s="164"/>
      <c r="AZ120" s="164"/>
      <c r="BA120" s="164"/>
      <c r="BB120" s="164"/>
      <c r="BC120" s="164"/>
      <c r="BD120" s="164"/>
      <c r="BE120" s="164"/>
      <c r="BF120" s="164"/>
      <c r="BG120" s="164"/>
      <c r="BH120" s="164"/>
      <c r="BI120" s="164"/>
    </row>
    <row r="121" ht="15.75" customHeight="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  <c r="AH121" s="164"/>
      <c r="AI121" s="164"/>
      <c r="AJ121" s="164"/>
      <c r="AK121" s="164"/>
      <c r="AL121" s="164"/>
      <c r="AM121" s="164"/>
      <c r="AN121" s="164"/>
      <c r="AO121" s="164"/>
      <c r="AP121" s="164"/>
      <c r="AQ121" s="164"/>
      <c r="AR121" s="164"/>
      <c r="AS121" s="164"/>
      <c r="AT121" s="164"/>
      <c r="AU121" s="164"/>
      <c r="AV121" s="164"/>
      <c r="AW121" s="164"/>
      <c r="AX121" s="164"/>
      <c r="AY121" s="164"/>
      <c r="AZ121" s="164"/>
      <c r="BA121" s="164"/>
      <c r="BB121" s="164"/>
      <c r="BC121" s="164"/>
      <c r="BD121" s="164"/>
      <c r="BE121" s="164"/>
      <c r="BF121" s="164"/>
      <c r="BG121" s="164"/>
      <c r="BH121" s="164"/>
      <c r="BI121" s="164"/>
    </row>
    <row r="122" ht="15.75" customHeight="1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64"/>
      <c r="AM122" s="164"/>
      <c r="AN122" s="164"/>
      <c r="AO122" s="164"/>
      <c r="AP122" s="164"/>
      <c r="AQ122" s="164"/>
      <c r="AR122" s="164"/>
      <c r="AS122" s="164"/>
      <c r="AT122" s="164"/>
      <c r="AU122" s="164"/>
      <c r="AV122" s="164"/>
      <c r="AW122" s="164"/>
      <c r="AX122" s="164"/>
      <c r="AY122" s="164"/>
      <c r="AZ122" s="164"/>
      <c r="BA122" s="164"/>
      <c r="BB122" s="164"/>
      <c r="BC122" s="164"/>
      <c r="BD122" s="164"/>
      <c r="BE122" s="164"/>
      <c r="BF122" s="164"/>
      <c r="BG122" s="164"/>
      <c r="BH122" s="164"/>
      <c r="BI122" s="164"/>
    </row>
    <row r="123" ht="15.75" customHeight="1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64"/>
      <c r="AJ123" s="164"/>
      <c r="AK123" s="164"/>
      <c r="AL123" s="164"/>
      <c r="AM123" s="164"/>
      <c r="AN123" s="164"/>
      <c r="AO123" s="164"/>
      <c r="AP123" s="164"/>
      <c r="AQ123" s="164"/>
      <c r="AR123" s="164"/>
      <c r="AS123" s="164"/>
      <c r="AT123" s="164"/>
      <c r="AU123" s="164"/>
      <c r="AV123" s="164"/>
      <c r="AW123" s="164"/>
      <c r="AX123" s="164"/>
      <c r="AY123" s="164"/>
      <c r="AZ123" s="164"/>
      <c r="BA123" s="164"/>
      <c r="BB123" s="164"/>
      <c r="BC123" s="164"/>
      <c r="BD123" s="164"/>
      <c r="BE123" s="164"/>
      <c r="BF123" s="164"/>
      <c r="BG123" s="164"/>
      <c r="BH123" s="164"/>
      <c r="BI123" s="164"/>
    </row>
    <row r="124" ht="15.75" customHeight="1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164"/>
      <c r="AJ124" s="164"/>
      <c r="AK124" s="164"/>
      <c r="AL124" s="164"/>
      <c r="AM124" s="164"/>
      <c r="AN124" s="164"/>
      <c r="AO124" s="164"/>
      <c r="AP124" s="164"/>
      <c r="AQ124" s="164"/>
      <c r="AR124" s="164"/>
      <c r="AS124" s="164"/>
      <c r="AT124" s="164"/>
      <c r="AU124" s="164"/>
      <c r="AV124" s="164"/>
      <c r="AW124" s="164"/>
      <c r="AX124" s="164"/>
      <c r="AY124" s="164"/>
      <c r="AZ124" s="164"/>
      <c r="BA124" s="164"/>
      <c r="BB124" s="164"/>
      <c r="BC124" s="164"/>
      <c r="BD124" s="164"/>
      <c r="BE124" s="164"/>
      <c r="BF124" s="164"/>
      <c r="BG124" s="164"/>
      <c r="BH124" s="164"/>
      <c r="BI124" s="164"/>
    </row>
    <row r="125" ht="15.75" customHeight="1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  <c r="AH125" s="164"/>
      <c r="AI125" s="164"/>
      <c r="AJ125" s="164"/>
      <c r="AK125" s="164"/>
      <c r="AL125" s="164"/>
      <c r="AM125" s="164"/>
      <c r="AN125" s="164"/>
      <c r="AO125" s="164"/>
      <c r="AP125" s="164"/>
      <c r="AQ125" s="164"/>
      <c r="AR125" s="164"/>
      <c r="AS125" s="164"/>
      <c r="AT125" s="164"/>
      <c r="AU125" s="164"/>
      <c r="AV125" s="164"/>
      <c r="AW125" s="164"/>
      <c r="AX125" s="164"/>
      <c r="AY125" s="164"/>
      <c r="AZ125" s="164"/>
      <c r="BA125" s="164"/>
      <c r="BB125" s="164"/>
      <c r="BC125" s="164"/>
      <c r="BD125" s="164"/>
      <c r="BE125" s="164"/>
      <c r="BF125" s="164"/>
      <c r="BG125" s="164"/>
      <c r="BH125" s="164"/>
      <c r="BI125" s="164"/>
    </row>
    <row r="126" ht="15.75" customHeight="1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64"/>
      <c r="AJ126" s="164"/>
      <c r="AK126" s="164"/>
      <c r="AL126" s="164"/>
      <c r="AM126" s="164"/>
      <c r="AN126" s="164"/>
      <c r="AO126" s="164"/>
      <c r="AP126" s="164"/>
      <c r="AQ126" s="164"/>
      <c r="AR126" s="164"/>
      <c r="AS126" s="164"/>
      <c r="AT126" s="164"/>
      <c r="AU126" s="164"/>
      <c r="AV126" s="164"/>
      <c r="AW126" s="164"/>
      <c r="AX126" s="164"/>
      <c r="AY126" s="164"/>
      <c r="AZ126" s="164"/>
      <c r="BA126" s="164"/>
      <c r="BB126" s="164"/>
      <c r="BC126" s="164"/>
      <c r="BD126" s="164"/>
      <c r="BE126" s="164"/>
      <c r="BF126" s="164"/>
      <c r="BG126" s="164"/>
      <c r="BH126" s="164"/>
      <c r="BI126" s="164"/>
    </row>
    <row r="127" ht="15.75" customHeight="1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  <c r="AH127" s="164"/>
      <c r="AI127" s="164"/>
      <c r="AJ127" s="164"/>
      <c r="AK127" s="164"/>
      <c r="AL127" s="164"/>
      <c r="AM127" s="164"/>
      <c r="AN127" s="164"/>
      <c r="AO127" s="164"/>
      <c r="AP127" s="164"/>
      <c r="AQ127" s="164"/>
      <c r="AR127" s="164"/>
      <c r="AS127" s="164"/>
      <c r="AT127" s="164"/>
      <c r="AU127" s="164"/>
      <c r="AV127" s="164"/>
      <c r="AW127" s="164"/>
      <c r="AX127" s="164"/>
      <c r="AY127" s="164"/>
      <c r="AZ127" s="164"/>
      <c r="BA127" s="164"/>
      <c r="BB127" s="164"/>
      <c r="BC127" s="164"/>
      <c r="BD127" s="164"/>
      <c r="BE127" s="164"/>
      <c r="BF127" s="164"/>
      <c r="BG127" s="164"/>
      <c r="BH127" s="164"/>
      <c r="BI127" s="164"/>
    </row>
    <row r="128" ht="15.75" customHeight="1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  <c r="AH128" s="164"/>
      <c r="AI128" s="164"/>
      <c r="AJ128" s="164"/>
      <c r="AK128" s="164"/>
      <c r="AL128" s="164"/>
      <c r="AM128" s="164"/>
      <c r="AN128" s="164"/>
      <c r="AO128" s="164"/>
      <c r="AP128" s="164"/>
      <c r="AQ128" s="164"/>
      <c r="AR128" s="164"/>
      <c r="AS128" s="164"/>
      <c r="AT128" s="164"/>
      <c r="AU128" s="164"/>
      <c r="AV128" s="164"/>
      <c r="AW128" s="164"/>
      <c r="AX128" s="164"/>
      <c r="AY128" s="164"/>
      <c r="AZ128" s="164"/>
      <c r="BA128" s="164"/>
      <c r="BB128" s="164"/>
      <c r="BC128" s="164"/>
      <c r="BD128" s="164"/>
      <c r="BE128" s="164"/>
      <c r="BF128" s="164"/>
      <c r="BG128" s="164"/>
      <c r="BH128" s="164"/>
      <c r="BI128" s="164"/>
    </row>
    <row r="129" ht="15.75" customHeight="1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/>
      <c r="AJ129" s="164"/>
      <c r="AK129" s="164"/>
      <c r="AL129" s="164"/>
      <c r="AM129" s="164"/>
      <c r="AN129" s="164"/>
      <c r="AO129" s="164"/>
      <c r="AP129" s="164"/>
      <c r="AQ129" s="164"/>
      <c r="AR129" s="164"/>
      <c r="AS129" s="164"/>
      <c r="AT129" s="164"/>
      <c r="AU129" s="164"/>
      <c r="AV129" s="164"/>
      <c r="AW129" s="164"/>
      <c r="AX129" s="164"/>
      <c r="AY129" s="164"/>
      <c r="AZ129" s="164"/>
      <c r="BA129" s="164"/>
      <c r="BB129" s="164"/>
      <c r="BC129" s="164"/>
      <c r="BD129" s="164"/>
      <c r="BE129" s="164"/>
      <c r="BF129" s="164"/>
      <c r="BG129" s="164"/>
      <c r="BH129" s="164"/>
      <c r="BI129" s="164"/>
    </row>
    <row r="130" ht="15.75" customHeight="1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  <c r="AM130" s="164"/>
      <c r="AN130" s="164"/>
      <c r="AO130" s="164"/>
      <c r="AP130" s="164"/>
      <c r="AQ130" s="164"/>
      <c r="AR130" s="164"/>
      <c r="AS130" s="164"/>
      <c r="AT130" s="164"/>
      <c r="AU130" s="164"/>
      <c r="AV130" s="164"/>
      <c r="AW130" s="164"/>
      <c r="AX130" s="164"/>
      <c r="AY130" s="164"/>
      <c r="AZ130" s="164"/>
      <c r="BA130" s="164"/>
      <c r="BB130" s="164"/>
      <c r="BC130" s="164"/>
      <c r="BD130" s="164"/>
      <c r="BE130" s="164"/>
      <c r="BF130" s="164"/>
      <c r="BG130" s="164"/>
      <c r="BH130" s="164"/>
      <c r="BI130" s="164"/>
    </row>
    <row r="131" ht="15.75" customHeight="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64"/>
      <c r="AM131" s="164"/>
      <c r="AN131" s="164"/>
      <c r="AO131" s="164"/>
      <c r="AP131" s="164"/>
      <c r="AQ131" s="164"/>
      <c r="AR131" s="164"/>
      <c r="AS131" s="164"/>
      <c r="AT131" s="164"/>
      <c r="AU131" s="164"/>
      <c r="AV131" s="164"/>
      <c r="AW131" s="164"/>
      <c r="AX131" s="164"/>
      <c r="AY131" s="164"/>
      <c r="AZ131" s="164"/>
      <c r="BA131" s="164"/>
      <c r="BB131" s="164"/>
      <c r="BC131" s="164"/>
      <c r="BD131" s="164"/>
      <c r="BE131" s="164"/>
      <c r="BF131" s="164"/>
      <c r="BG131" s="164"/>
      <c r="BH131" s="164"/>
      <c r="BI131" s="164"/>
    </row>
    <row r="132" ht="15.75" customHeight="1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64"/>
      <c r="AJ132" s="164"/>
      <c r="AK132" s="164"/>
      <c r="AL132" s="164"/>
      <c r="AM132" s="164"/>
      <c r="AN132" s="164"/>
      <c r="AO132" s="164"/>
      <c r="AP132" s="164"/>
      <c r="AQ132" s="164"/>
      <c r="AR132" s="164"/>
      <c r="AS132" s="164"/>
      <c r="AT132" s="164"/>
      <c r="AU132" s="164"/>
      <c r="AV132" s="164"/>
      <c r="AW132" s="164"/>
      <c r="AX132" s="164"/>
      <c r="AY132" s="164"/>
      <c r="AZ132" s="164"/>
      <c r="BA132" s="164"/>
      <c r="BB132" s="164"/>
      <c r="BC132" s="164"/>
      <c r="BD132" s="164"/>
      <c r="BE132" s="164"/>
      <c r="BF132" s="164"/>
      <c r="BG132" s="164"/>
      <c r="BH132" s="164"/>
      <c r="BI132" s="164"/>
    </row>
    <row r="133" ht="15.75" customHeight="1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64"/>
      <c r="AJ133" s="164"/>
      <c r="AK133" s="164"/>
      <c r="AL133" s="164"/>
      <c r="AM133" s="164"/>
      <c r="AN133" s="164"/>
      <c r="AO133" s="164"/>
      <c r="AP133" s="164"/>
      <c r="AQ133" s="164"/>
      <c r="AR133" s="164"/>
      <c r="AS133" s="164"/>
      <c r="AT133" s="164"/>
      <c r="AU133" s="164"/>
      <c r="AV133" s="164"/>
      <c r="AW133" s="164"/>
      <c r="AX133" s="164"/>
      <c r="AY133" s="164"/>
      <c r="AZ133" s="164"/>
      <c r="BA133" s="164"/>
      <c r="BB133" s="164"/>
      <c r="BC133" s="164"/>
      <c r="BD133" s="164"/>
      <c r="BE133" s="164"/>
      <c r="BF133" s="164"/>
      <c r="BG133" s="164"/>
      <c r="BH133" s="164"/>
      <c r="BI133" s="164"/>
    </row>
    <row r="134" ht="15.75" customHeight="1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  <c r="AO134" s="164"/>
      <c r="AP134" s="164"/>
      <c r="AQ134" s="164"/>
      <c r="AR134" s="164"/>
      <c r="AS134" s="164"/>
      <c r="AT134" s="164"/>
      <c r="AU134" s="164"/>
      <c r="AV134" s="164"/>
      <c r="AW134" s="164"/>
      <c r="AX134" s="164"/>
      <c r="AY134" s="164"/>
      <c r="AZ134" s="164"/>
      <c r="BA134" s="164"/>
      <c r="BB134" s="164"/>
      <c r="BC134" s="164"/>
      <c r="BD134" s="164"/>
      <c r="BE134" s="164"/>
      <c r="BF134" s="164"/>
      <c r="BG134" s="164"/>
      <c r="BH134" s="164"/>
      <c r="BI134" s="164"/>
    </row>
    <row r="135" ht="15.75" customHeight="1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  <c r="AO135" s="164"/>
      <c r="AP135" s="164"/>
      <c r="AQ135" s="164"/>
      <c r="AR135" s="164"/>
      <c r="AS135" s="164"/>
      <c r="AT135" s="164"/>
      <c r="AU135" s="164"/>
      <c r="AV135" s="164"/>
      <c r="AW135" s="164"/>
      <c r="AX135" s="164"/>
      <c r="AY135" s="164"/>
      <c r="AZ135" s="164"/>
      <c r="BA135" s="164"/>
      <c r="BB135" s="164"/>
      <c r="BC135" s="164"/>
      <c r="BD135" s="164"/>
      <c r="BE135" s="164"/>
      <c r="BF135" s="164"/>
      <c r="BG135" s="164"/>
      <c r="BH135" s="164"/>
      <c r="BI135" s="164"/>
    </row>
    <row r="136" ht="15.75" customHeight="1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  <c r="AE136" s="164"/>
      <c r="AF136" s="164"/>
      <c r="AG136" s="164"/>
      <c r="AH136" s="164"/>
      <c r="AI136" s="164"/>
      <c r="AJ136" s="164"/>
      <c r="AK136" s="164"/>
      <c r="AL136" s="164"/>
      <c r="AM136" s="164"/>
      <c r="AN136" s="164"/>
      <c r="AO136" s="164"/>
      <c r="AP136" s="164"/>
      <c r="AQ136" s="164"/>
      <c r="AR136" s="164"/>
      <c r="AS136" s="164"/>
      <c r="AT136" s="164"/>
      <c r="AU136" s="164"/>
      <c r="AV136" s="164"/>
      <c r="AW136" s="164"/>
      <c r="AX136" s="164"/>
      <c r="AY136" s="164"/>
      <c r="AZ136" s="164"/>
      <c r="BA136" s="164"/>
      <c r="BB136" s="164"/>
      <c r="BC136" s="164"/>
      <c r="BD136" s="164"/>
      <c r="BE136" s="164"/>
      <c r="BF136" s="164"/>
      <c r="BG136" s="164"/>
      <c r="BH136" s="164"/>
      <c r="BI136" s="164"/>
    </row>
    <row r="137" ht="15.75" customHeight="1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64"/>
      <c r="AJ137" s="164"/>
      <c r="AK137" s="164"/>
      <c r="AL137" s="164"/>
      <c r="AM137" s="164"/>
      <c r="AN137" s="164"/>
      <c r="AO137" s="164"/>
      <c r="AP137" s="164"/>
      <c r="AQ137" s="164"/>
      <c r="AR137" s="164"/>
      <c r="AS137" s="164"/>
      <c r="AT137" s="164"/>
      <c r="AU137" s="164"/>
      <c r="AV137" s="164"/>
      <c r="AW137" s="164"/>
      <c r="AX137" s="164"/>
      <c r="AY137" s="164"/>
      <c r="AZ137" s="164"/>
      <c r="BA137" s="164"/>
      <c r="BB137" s="164"/>
      <c r="BC137" s="164"/>
      <c r="BD137" s="164"/>
      <c r="BE137" s="164"/>
      <c r="BF137" s="164"/>
      <c r="BG137" s="164"/>
      <c r="BH137" s="164"/>
      <c r="BI137" s="164"/>
    </row>
    <row r="138" ht="15.75" customHeight="1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  <c r="AG138" s="164"/>
      <c r="AH138" s="164"/>
      <c r="AI138" s="164"/>
      <c r="AJ138" s="164"/>
      <c r="AK138" s="164"/>
      <c r="AL138" s="164"/>
      <c r="AM138" s="164"/>
      <c r="AN138" s="164"/>
      <c r="AO138" s="164"/>
      <c r="AP138" s="164"/>
      <c r="AQ138" s="164"/>
      <c r="AR138" s="164"/>
      <c r="AS138" s="164"/>
      <c r="AT138" s="164"/>
      <c r="AU138" s="164"/>
      <c r="AV138" s="164"/>
      <c r="AW138" s="164"/>
      <c r="AX138" s="164"/>
      <c r="AY138" s="164"/>
      <c r="AZ138" s="164"/>
      <c r="BA138" s="164"/>
      <c r="BB138" s="164"/>
      <c r="BC138" s="164"/>
      <c r="BD138" s="164"/>
      <c r="BE138" s="164"/>
      <c r="BF138" s="164"/>
      <c r="BG138" s="164"/>
      <c r="BH138" s="164"/>
      <c r="BI138" s="164"/>
    </row>
    <row r="139" ht="15.75" customHeight="1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  <c r="AG139" s="164"/>
      <c r="AH139" s="164"/>
      <c r="AI139" s="164"/>
      <c r="AJ139" s="164"/>
      <c r="AK139" s="164"/>
      <c r="AL139" s="164"/>
      <c r="AM139" s="164"/>
      <c r="AN139" s="164"/>
      <c r="AO139" s="164"/>
      <c r="AP139" s="164"/>
      <c r="AQ139" s="164"/>
      <c r="AR139" s="164"/>
      <c r="AS139" s="164"/>
      <c r="AT139" s="164"/>
      <c r="AU139" s="164"/>
      <c r="AV139" s="164"/>
      <c r="AW139" s="164"/>
      <c r="AX139" s="164"/>
      <c r="AY139" s="164"/>
      <c r="AZ139" s="164"/>
      <c r="BA139" s="164"/>
      <c r="BB139" s="164"/>
      <c r="BC139" s="164"/>
      <c r="BD139" s="164"/>
      <c r="BE139" s="164"/>
      <c r="BF139" s="164"/>
      <c r="BG139" s="164"/>
      <c r="BH139" s="164"/>
      <c r="BI139" s="164"/>
    </row>
    <row r="140" ht="15.75" customHeight="1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  <c r="AM140" s="164"/>
      <c r="AN140" s="164"/>
      <c r="AO140" s="164"/>
      <c r="AP140" s="164"/>
      <c r="AQ140" s="164"/>
      <c r="AR140" s="164"/>
      <c r="AS140" s="164"/>
      <c r="AT140" s="164"/>
      <c r="AU140" s="164"/>
      <c r="AV140" s="164"/>
      <c r="AW140" s="164"/>
      <c r="AX140" s="164"/>
      <c r="AY140" s="164"/>
      <c r="AZ140" s="164"/>
      <c r="BA140" s="164"/>
      <c r="BB140" s="164"/>
      <c r="BC140" s="164"/>
      <c r="BD140" s="164"/>
      <c r="BE140" s="164"/>
      <c r="BF140" s="164"/>
      <c r="BG140" s="164"/>
      <c r="BH140" s="164"/>
      <c r="BI140" s="164"/>
    </row>
    <row r="141" ht="15.75" customHeight="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  <c r="AE141" s="164"/>
      <c r="AF141" s="164"/>
      <c r="AG141" s="164"/>
      <c r="AH141" s="164"/>
      <c r="AI141" s="164"/>
      <c r="AJ141" s="164"/>
      <c r="AK141" s="164"/>
      <c r="AL141" s="164"/>
      <c r="AM141" s="164"/>
      <c r="AN141" s="164"/>
      <c r="AO141" s="164"/>
      <c r="AP141" s="164"/>
      <c r="AQ141" s="164"/>
      <c r="AR141" s="164"/>
      <c r="AS141" s="164"/>
      <c r="AT141" s="164"/>
      <c r="AU141" s="164"/>
      <c r="AV141" s="164"/>
      <c r="AW141" s="164"/>
      <c r="AX141" s="164"/>
      <c r="AY141" s="164"/>
      <c r="AZ141" s="164"/>
      <c r="BA141" s="164"/>
      <c r="BB141" s="164"/>
      <c r="BC141" s="164"/>
      <c r="BD141" s="164"/>
      <c r="BE141" s="164"/>
      <c r="BF141" s="164"/>
      <c r="BG141" s="164"/>
      <c r="BH141" s="164"/>
      <c r="BI141" s="164"/>
    </row>
    <row r="142" ht="15.75" customHeight="1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  <c r="AE142" s="164"/>
      <c r="AF142" s="164"/>
      <c r="AG142" s="164"/>
      <c r="AH142" s="164"/>
      <c r="AI142" s="164"/>
      <c r="AJ142" s="164"/>
      <c r="AK142" s="164"/>
      <c r="AL142" s="164"/>
      <c r="AM142" s="164"/>
      <c r="AN142" s="164"/>
      <c r="AO142" s="164"/>
      <c r="AP142" s="164"/>
      <c r="AQ142" s="164"/>
      <c r="AR142" s="164"/>
      <c r="AS142" s="164"/>
      <c r="AT142" s="164"/>
      <c r="AU142" s="164"/>
      <c r="AV142" s="164"/>
      <c r="AW142" s="164"/>
      <c r="AX142" s="164"/>
      <c r="AY142" s="164"/>
      <c r="AZ142" s="164"/>
      <c r="BA142" s="164"/>
      <c r="BB142" s="164"/>
      <c r="BC142" s="164"/>
      <c r="BD142" s="164"/>
      <c r="BE142" s="164"/>
      <c r="BF142" s="164"/>
      <c r="BG142" s="164"/>
      <c r="BH142" s="164"/>
      <c r="BI142" s="164"/>
    </row>
    <row r="143" ht="15.75" customHeight="1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  <c r="AE143" s="164"/>
      <c r="AF143" s="164"/>
      <c r="AG143" s="164"/>
      <c r="AH143" s="164"/>
      <c r="AI143" s="164"/>
      <c r="AJ143" s="164"/>
      <c r="AK143" s="164"/>
      <c r="AL143" s="164"/>
      <c r="AM143" s="164"/>
      <c r="AN143" s="164"/>
      <c r="AO143" s="164"/>
      <c r="AP143" s="164"/>
      <c r="AQ143" s="164"/>
      <c r="AR143" s="164"/>
      <c r="AS143" s="164"/>
      <c r="AT143" s="164"/>
      <c r="AU143" s="164"/>
      <c r="AV143" s="164"/>
      <c r="AW143" s="164"/>
      <c r="AX143" s="164"/>
      <c r="AY143" s="164"/>
      <c r="AZ143" s="164"/>
      <c r="BA143" s="164"/>
      <c r="BB143" s="164"/>
      <c r="BC143" s="164"/>
      <c r="BD143" s="164"/>
      <c r="BE143" s="164"/>
      <c r="BF143" s="164"/>
      <c r="BG143" s="164"/>
      <c r="BH143" s="164"/>
      <c r="BI143" s="164"/>
    </row>
    <row r="144" ht="15.75" customHeight="1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  <c r="AD144" s="164"/>
      <c r="AE144" s="164"/>
      <c r="AF144" s="164"/>
      <c r="AG144" s="164"/>
      <c r="AH144" s="164"/>
      <c r="AI144" s="164"/>
      <c r="AJ144" s="164"/>
      <c r="AK144" s="164"/>
      <c r="AL144" s="164"/>
      <c r="AM144" s="164"/>
      <c r="AN144" s="164"/>
      <c r="AO144" s="164"/>
      <c r="AP144" s="164"/>
      <c r="AQ144" s="164"/>
      <c r="AR144" s="164"/>
      <c r="AS144" s="164"/>
      <c r="AT144" s="164"/>
      <c r="AU144" s="164"/>
      <c r="AV144" s="164"/>
      <c r="AW144" s="164"/>
      <c r="AX144" s="164"/>
      <c r="AY144" s="164"/>
      <c r="AZ144" s="164"/>
      <c r="BA144" s="164"/>
      <c r="BB144" s="164"/>
      <c r="BC144" s="164"/>
      <c r="BD144" s="164"/>
      <c r="BE144" s="164"/>
      <c r="BF144" s="164"/>
      <c r="BG144" s="164"/>
      <c r="BH144" s="164"/>
      <c r="BI144" s="164"/>
    </row>
    <row r="145" ht="15.75" customHeight="1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  <c r="AH145" s="164"/>
      <c r="AI145" s="164"/>
      <c r="AJ145" s="164"/>
      <c r="AK145" s="164"/>
      <c r="AL145" s="164"/>
      <c r="AM145" s="164"/>
      <c r="AN145" s="164"/>
      <c r="AO145" s="164"/>
      <c r="AP145" s="164"/>
      <c r="AQ145" s="164"/>
      <c r="AR145" s="164"/>
      <c r="AS145" s="164"/>
      <c r="AT145" s="164"/>
      <c r="AU145" s="164"/>
      <c r="AV145" s="164"/>
      <c r="AW145" s="164"/>
      <c r="AX145" s="164"/>
      <c r="AY145" s="164"/>
      <c r="AZ145" s="164"/>
      <c r="BA145" s="164"/>
      <c r="BB145" s="164"/>
      <c r="BC145" s="164"/>
      <c r="BD145" s="164"/>
      <c r="BE145" s="164"/>
      <c r="BF145" s="164"/>
      <c r="BG145" s="164"/>
      <c r="BH145" s="164"/>
      <c r="BI145" s="164"/>
    </row>
    <row r="146" ht="15.75" customHeight="1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  <c r="AH146" s="164"/>
      <c r="AI146" s="164"/>
      <c r="AJ146" s="164"/>
      <c r="AK146" s="164"/>
      <c r="AL146" s="164"/>
      <c r="AM146" s="164"/>
      <c r="AN146" s="164"/>
      <c r="AO146" s="164"/>
      <c r="AP146" s="164"/>
      <c r="AQ146" s="164"/>
      <c r="AR146" s="164"/>
      <c r="AS146" s="164"/>
      <c r="AT146" s="164"/>
      <c r="AU146" s="164"/>
      <c r="AV146" s="164"/>
      <c r="AW146" s="164"/>
      <c r="AX146" s="164"/>
      <c r="AY146" s="164"/>
      <c r="AZ146" s="164"/>
      <c r="BA146" s="164"/>
      <c r="BB146" s="164"/>
      <c r="BC146" s="164"/>
      <c r="BD146" s="164"/>
      <c r="BE146" s="164"/>
      <c r="BF146" s="164"/>
      <c r="BG146" s="164"/>
      <c r="BH146" s="164"/>
      <c r="BI146" s="164"/>
    </row>
    <row r="147" ht="15.75" customHeight="1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  <c r="AD147" s="164"/>
      <c r="AE147" s="164"/>
      <c r="AF147" s="164"/>
      <c r="AG147" s="164"/>
      <c r="AH147" s="164"/>
      <c r="AI147" s="164"/>
      <c r="AJ147" s="164"/>
      <c r="AK147" s="164"/>
      <c r="AL147" s="164"/>
      <c r="AM147" s="164"/>
      <c r="AN147" s="164"/>
      <c r="AO147" s="164"/>
      <c r="AP147" s="164"/>
      <c r="AQ147" s="164"/>
      <c r="AR147" s="164"/>
      <c r="AS147" s="164"/>
      <c r="AT147" s="164"/>
      <c r="AU147" s="164"/>
      <c r="AV147" s="164"/>
      <c r="AW147" s="164"/>
      <c r="AX147" s="164"/>
      <c r="AY147" s="164"/>
      <c r="AZ147" s="164"/>
      <c r="BA147" s="164"/>
      <c r="BB147" s="164"/>
      <c r="BC147" s="164"/>
      <c r="BD147" s="164"/>
      <c r="BE147" s="164"/>
      <c r="BF147" s="164"/>
      <c r="BG147" s="164"/>
      <c r="BH147" s="164"/>
      <c r="BI147" s="164"/>
    </row>
    <row r="148" ht="15.75" customHeight="1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  <c r="AD148" s="164"/>
      <c r="AE148" s="164"/>
      <c r="AF148" s="164"/>
      <c r="AG148" s="164"/>
      <c r="AH148" s="164"/>
      <c r="AI148" s="164"/>
      <c r="AJ148" s="164"/>
      <c r="AK148" s="164"/>
      <c r="AL148" s="164"/>
      <c r="AM148" s="164"/>
      <c r="AN148" s="164"/>
      <c r="AO148" s="164"/>
      <c r="AP148" s="164"/>
      <c r="AQ148" s="164"/>
      <c r="AR148" s="164"/>
      <c r="AS148" s="164"/>
      <c r="AT148" s="164"/>
      <c r="AU148" s="164"/>
      <c r="AV148" s="164"/>
      <c r="AW148" s="164"/>
      <c r="AX148" s="164"/>
      <c r="AY148" s="164"/>
      <c r="AZ148" s="164"/>
      <c r="BA148" s="164"/>
      <c r="BB148" s="164"/>
      <c r="BC148" s="164"/>
      <c r="BD148" s="164"/>
      <c r="BE148" s="164"/>
      <c r="BF148" s="164"/>
      <c r="BG148" s="164"/>
      <c r="BH148" s="164"/>
      <c r="BI148" s="164"/>
    </row>
    <row r="149" ht="15.75" customHeight="1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  <c r="AD149" s="164"/>
      <c r="AE149" s="164"/>
      <c r="AF149" s="164"/>
      <c r="AG149" s="164"/>
      <c r="AH149" s="164"/>
      <c r="AI149" s="164"/>
      <c r="AJ149" s="164"/>
      <c r="AK149" s="164"/>
      <c r="AL149" s="164"/>
      <c r="AM149" s="164"/>
      <c r="AN149" s="164"/>
      <c r="AO149" s="164"/>
      <c r="AP149" s="164"/>
      <c r="AQ149" s="164"/>
      <c r="AR149" s="164"/>
      <c r="AS149" s="164"/>
      <c r="AT149" s="164"/>
      <c r="AU149" s="164"/>
      <c r="AV149" s="164"/>
      <c r="AW149" s="164"/>
      <c r="AX149" s="164"/>
      <c r="AY149" s="164"/>
      <c r="AZ149" s="164"/>
      <c r="BA149" s="164"/>
      <c r="BB149" s="164"/>
      <c r="BC149" s="164"/>
      <c r="BD149" s="164"/>
      <c r="BE149" s="164"/>
      <c r="BF149" s="164"/>
      <c r="BG149" s="164"/>
      <c r="BH149" s="164"/>
      <c r="BI149" s="164"/>
    </row>
    <row r="150" ht="15.75" customHeight="1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  <c r="AD150" s="164"/>
      <c r="AE150" s="164"/>
      <c r="AF150" s="164"/>
      <c r="AG150" s="164"/>
      <c r="AH150" s="164"/>
      <c r="AI150" s="164"/>
      <c r="AJ150" s="164"/>
      <c r="AK150" s="164"/>
      <c r="AL150" s="164"/>
      <c r="AM150" s="164"/>
      <c r="AN150" s="164"/>
      <c r="AO150" s="164"/>
      <c r="AP150" s="164"/>
      <c r="AQ150" s="164"/>
      <c r="AR150" s="164"/>
      <c r="AS150" s="164"/>
      <c r="AT150" s="164"/>
      <c r="AU150" s="164"/>
      <c r="AV150" s="164"/>
      <c r="AW150" s="164"/>
      <c r="AX150" s="164"/>
      <c r="AY150" s="164"/>
      <c r="AZ150" s="164"/>
      <c r="BA150" s="164"/>
      <c r="BB150" s="164"/>
      <c r="BC150" s="164"/>
      <c r="BD150" s="164"/>
      <c r="BE150" s="164"/>
      <c r="BF150" s="164"/>
      <c r="BG150" s="164"/>
      <c r="BH150" s="164"/>
      <c r="BI150" s="164"/>
    </row>
    <row r="151" ht="15.75" customHeight="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  <c r="AD151" s="164"/>
      <c r="AE151" s="164"/>
      <c r="AF151" s="164"/>
      <c r="AG151" s="164"/>
      <c r="AH151" s="164"/>
      <c r="AI151" s="164"/>
      <c r="AJ151" s="164"/>
      <c r="AK151" s="164"/>
      <c r="AL151" s="164"/>
      <c r="AM151" s="164"/>
      <c r="AN151" s="164"/>
      <c r="AO151" s="164"/>
      <c r="AP151" s="164"/>
      <c r="AQ151" s="164"/>
      <c r="AR151" s="164"/>
      <c r="AS151" s="164"/>
      <c r="AT151" s="164"/>
      <c r="AU151" s="164"/>
      <c r="AV151" s="164"/>
      <c r="AW151" s="164"/>
      <c r="AX151" s="164"/>
      <c r="AY151" s="164"/>
      <c r="AZ151" s="164"/>
      <c r="BA151" s="164"/>
      <c r="BB151" s="164"/>
      <c r="BC151" s="164"/>
      <c r="BD151" s="164"/>
      <c r="BE151" s="164"/>
      <c r="BF151" s="164"/>
      <c r="BG151" s="164"/>
      <c r="BH151" s="164"/>
      <c r="BI151" s="164"/>
    </row>
    <row r="152" ht="15.75" customHeight="1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4"/>
      <c r="AG152" s="164"/>
      <c r="AH152" s="164"/>
      <c r="AI152" s="164"/>
      <c r="AJ152" s="164"/>
      <c r="AK152" s="164"/>
      <c r="AL152" s="164"/>
      <c r="AM152" s="164"/>
      <c r="AN152" s="164"/>
      <c r="AO152" s="164"/>
      <c r="AP152" s="164"/>
      <c r="AQ152" s="164"/>
      <c r="AR152" s="164"/>
      <c r="AS152" s="164"/>
      <c r="AT152" s="164"/>
      <c r="AU152" s="164"/>
      <c r="AV152" s="164"/>
      <c r="AW152" s="164"/>
      <c r="AX152" s="164"/>
      <c r="AY152" s="164"/>
      <c r="AZ152" s="164"/>
      <c r="BA152" s="164"/>
      <c r="BB152" s="164"/>
      <c r="BC152" s="164"/>
      <c r="BD152" s="164"/>
      <c r="BE152" s="164"/>
      <c r="BF152" s="164"/>
      <c r="BG152" s="164"/>
      <c r="BH152" s="164"/>
      <c r="BI152" s="164"/>
    </row>
    <row r="153" ht="15.75" customHeight="1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  <c r="AD153" s="164"/>
      <c r="AE153" s="164"/>
      <c r="AF153" s="164"/>
      <c r="AG153" s="164"/>
      <c r="AH153" s="164"/>
      <c r="AI153" s="164"/>
      <c r="AJ153" s="164"/>
      <c r="AK153" s="164"/>
      <c r="AL153" s="164"/>
      <c r="AM153" s="164"/>
      <c r="AN153" s="164"/>
      <c r="AO153" s="164"/>
      <c r="AP153" s="164"/>
      <c r="AQ153" s="164"/>
      <c r="AR153" s="164"/>
      <c r="AS153" s="164"/>
      <c r="AT153" s="164"/>
      <c r="AU153" s="164"/>
      <c r="AV153" s="164"/>
      <c r="AW153" s="164"/>
      <c r="AX153" s="164"/>
      <c r="AY153" s="164"/>
      <c r="AZ153" s="164"/>
      <c r="BA153" s="164"/>
      <c r="BB153" s="164"/>
      <c r="BC153" s="164"/>
      <c r="BD153" s="164"/>
      <c r="BE153" s="164"/>
      <c r="BF153" s="164"/>
      <c r="BG153" s="164"/>
      <c r="BH153" s="164"/>
      <c r="BI153" s="164"/>
    </row>
    <row r="154" ht="15.75" customHeight="1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  <c r="AD154" s="164"/>
      <c r="AE154" s="164"/>
      <c r="AF154" s="164"/>
      <c r="AG154" s="164"/>
      <c r="AH154" s="164"/>
      <c r="AI154" s="164"/>
      <c r="AJ154" s="164"/>
      <c r="AK154" s="164"/>
      <c r="AL154" s="164"/>
      <c r="AM154" s="164"/>
      <c r="AN154" s="164"/>
      <c r="AO154" s="164"/>
      <c r="AP154" s="164"/>
      <c r="AQ154" s="164"/>
      <c r="AR154" s="164"/>
      <c r="AS154" s="164"/>
      <c r="AT154" s="164"/>
      <c r="AU154" s="164"/>
      <c r="AV154" s="164"/>
      <c r="AW154" s="164"/>
      <c r="AX154" s="164"/>
      <c r="AY154" s="164"/>
      <c r="AZ154" s="164"/>
      <c r="BA154" s="164"/>
      <c r="BB154" s="164"/>
      <c r="BC154" s="164"/>
      <c r="BD154" s="164"/>
      <c r="BE154" s="164"/>
      <c r="BF154" s="164"/>
      <c r="BG154" s="164"/>
      <c r="BH154" s="164"/>
      <c r="BI154" s="164"/>
    </row>
    <row r="155" ht="15.75" customHeight="1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  <c r="AD155" s="164"/>
      <c r="AE155" s="164"/>
      <c r="AF155" s="164"/>
      <c r="AG155" s="164"/>
      <c r="AH155" s="164"/>
      <c r="AI155" s="164"/>
      <c r="AJ155" s="164"/>
      <c r="AK155" s="164"/>
      <c r="AL155" s="164"/>
      <c r="AM155" s="164"/>
      <c r="AN155" s="164"/>
      <c r="AO155" s="164"/>
      <c r="AP155" s="164"/>
      <c r="AQ155" s="164"/>
      <c r="AR155" s="164"/>
      <c r="AS155" s="164"/>
      <c r="AT155" s="164"/>
      <c r="AU155" s="164"/>
      <c r="AV155" s="164"/>
      <c r="AW155" s="164"/>
      <c r="AX155" s="164"/>
      <c r="AY155" s="164"/>
      <c r="AZ155" s="164"/>
      <c r="BA155" s="164"/>
      <c r="BB155" s="164"/>
      <c r="BC155" s="164"/>
      <c r="BD155" s="164"/>
      <c r="BE155" s="164"/>
      <c r="BF155" s="164"/>
      <c r="BG155" s="164"/>
      <c r="BH155" s="164"/>
      <c r="BI155" s="164"/>
    </row>
    <row r="156" ht="15.75" customHeight="1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  <c r="AD156" s="164"/>
      <c r="AE156" s="164"/>
      <c r="AF156" s="164"/>
      <c r="AG156" s="164"/>
      <c r="AH156" s="164"/>
      <c r="AI156" s="164"/>
      <c r="AJ156" s="164"/>
      <c r="AK156" s="164"/>
      <c r="AL156" s="164"/>
      <c r="AM156" s="164"/>
      <c r="AN156" s="164"/>
      <c r="AO156" s="164"/>
      <c r="AP156" s="164"/>
      <c r="AQ156" s="164"/>
      <c r="AR156" s="164"/>
      <c r="AS156" s="164"/>
      <c r="AT156" s="164"/>
      <c r="AU156" s="164"/>
      <c r="AV156" s="164"/>
      <c r="AW156" s="164"/>
      <c r="AX156" s="164"/>
      <c r="AY156" s="164"/>
      <c r="AZ156" s="164"/>
      <c r="BA156" s="164"/>
      <c r="BB156" s="164"/>
      <c r="BC156" s="164"/>
      <c r="BD156" s="164"/>
      <c r="BE156" s="164"/>
      <c r="BF156" s="164"/>
      <c r="BG156" s="164"/>
      <c r="BH156" s="164"/>
      <c r="BI156" s="164"/>
    </row>
    <row r="157" ht="15.75" customHeight="1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  <c r="AD157" s="164"/>
      <c r="AE157" s="164"/>
      <c r="AF157" s="164"/>
      <c r="AG157" s="164"/>
      <c r="AH157" s="164"/>
      <c r="AI157" s="164"/>
      <c r="AJ157" s="164"/>
      <c r="AK157" s="164"/>
      <c r="AL157" s="164"/>
      <c r="AM157" s="164"/>
      <c r="AN157" s="164"/>
      <c r="AO157" s="164"/>
      <c r="AP157" s="164"/>
      <c r="AQ157" s="164"/>
      <c r="AR157" s="164"/>
      <c r="AS157" s="164"/>
      <c r="AT157" s="164"/>
      <c r="AU157" s="164"/>
      <c r="AV157" s="164"/>
      <c r="AW157" s="164"/>
      <c r="AX157" s="164"/>
      <c r="AY157" s="164"/>
      <c r="AZ157" s="164"/>
      <c r="BA157" s="164"/>
      <c r="BB157" s="164"/>
      <c r="BC157" s="164"/>
      <c r="BD157" s="164"/>
      <c r="BE157" s="164"/>
      <c r="BF157" s="164"/>
      <c r="BG157" s="164"/>
      <c r="BH157" s="164"/>
      <c r="BI157" s="164"/>
    </row>
    <row r="158" ht="15.75" customHeight="1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  <c r="AD158" s="164"/>
      <c r="AE158" s="164"/>
      <c r="AF158" s="164"/>
      <c r="AG158" s="164"/>
      <c r="AH158" s="164"/>
      <c r="AI158" s="164"/>
      <c r="AJ158" s="164"/>
      <c r="AK158" s="164"/>
      <c r="AL158" s="164"/>
      <c r="AM158" s="164"/>
      <c r="AN158" s="164"/>
      <c r="AO158" s="164"/>
      <c r="AP158" s="164"/>
      <c r="AQ158" s="164"/>
      <c r="AR158" s="164"/>
      <c r="AS158" s="164"/>
      <c r="AT158" s="164"/>
      <c r="AU158" s="164"/>
      <c r="AV158" s="164"/>
      <c r="AW158" s="164"/>
      <c r="AX158" s="164"/>
      <c r="AY158" s="164"/>
      <c r="AZ158" s="164"/>
      <c r="BA158" s="164"/>
      <c r="BB158" s="164"/>
      <c r="BC158" s="164"/>
      <c r="BD158" s="164"/>
      <c r="BE158" s="164"/>
      <c r="BF158" s="164"/>
      <c r="BG158" s="164"/>
      <c r="BH158" s="164"/>
      <c r="BI158" s="164"/>
    </row>
    <row r="159" ht="15.75" customHeight="1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  <c r="AD159" s="164"/>
      <c r="AE159" s="164"/>
      <c r="AF159" s="164"/>
      <c r="AG159" s="164"/>
      <c r="AH159" s="164"/>
      <c r="AI159" s="164"/>
      <c r="AJ159" s="164"/>
      <c r="AK159" s="164"/>
      <c r="AL159" s="164"/>
      <c r="AM159" s="164"/>
      <c r="AN159" s="164"/>
      <c r="AO159" s="164"/>
      <c r="AP159" s="164"/>
      <c r="AQ159" s="164"/>
      <c r="AR159" s="164"/>
      <c r="AS159" s="164"/>
      <c r="AT159" s="164"/>
      <c r="AU159" s="164"/>
      <c r="AV159" s="164"/>
      <c r="AW159" s="164"/>
      <c r="AX159" s="164"/>
      <c r="AY159" s="164"/>
      <c r="AZ159" s="164"/>
      <c r="BA159" s="164"/>
      <c r="BB159" s="164"/>
      <c r="BC159" s="164"/>
      <c r="BD159" s="164"/>
      <c r="BE159" s="164"/>
      <c r="BF159" s="164"/>
      <c r="BG159" s="164"/>
      <c r="BH159" s="164"/>
      <c r="BI159" s="164"/>
    </row>
    <row r="160" ht="15.75" customHeight="1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  <c r="AD160" s="164"/>
      <c r="AE160" s="164"/>
      <c r="AF160" s="164"/>
      <c r="AG160" s="164"/>
      <c r="AH160" s="164"/>
      <c r="AI160" s="164"/>
      <c r="AJ160" s="164"/>
      <c r="AK160" s="164"/>
      <c r="AL160" s="164"/>
      <c r="AM160" s="164"/>
      <c r="AN160" s="164"/>
      <c r="AO160" s="164"/>
      <c r="AP160" s="164"/>
      <c r="AQ160" s="164"/>
      <c r="AR160" s="164"/>
      <c r="AS160" s="164"/>
      <c r="AT160" s="164"/>
      <c r="AU160" s="164"/>
      <c r="AV160" s="164"/>
      <c r="AW160" s="164"/>
      <c r="AX160" s="164"/>
      <c r="AY160" s="164"/>
      <c r="AZ160" s="164"/>
      <c r="BA160" s="164"/>
      <c r="BB160" s="164"/>
      <c r="BC160" s="164"/>
      <c r="BD160" s="164"/>
      <c r="BE160" s="164"/>
      <c r="BF160" s="164"/>
      <c r="BG160" s="164"/>
      <c r="BH160" s="164"/>
      <c r="BI160" s="164"/>
    </row>
    <row r="161" ht="15.75" customHeight="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  <c r="AD161" s="164"/>
      <c r="AE161" s="164"/>
      <c r="AF161" s="164"/>
      <c r="AG161" s="164"/>
      <c r="AH161" s="164"/>
      <c r="AI161" s="164"/>
      <c r="AJ161" s="164"/>
      <c r="AK161" s="164"/>
      <c r="AL161" s="164"/>
      <c r="AM161" s="164"/>
      <c r="AN161" s="164"/>
      <c r="AO161" s="164"/>
      <c r="AP161" s="164"/>
      <c r="AQ161" s="164"/>
      <c r="AR161" s="164"/>
      <c r="AS161" s="164"/>
      <c r="AT161" s="164"/>
      <c r="AU161" s="164"/>
      <c r="AV161" s="164"/>
      <c r="AW161" s="164"/>
      <c r="AX161" s="164"/>
      <c r="AY161" s="164"/>
      <c r="AZ161" s="164"/>
      <c r="BA161" s="164"/>
      <c r="BB161" s="164"/>
      <c r="BC161" s="164"/>
      <c r="BD161" s="164"/>
      <c r="BE161" s="164"/>
      <c r="BF161" s="164"/>
      <c r="BG161" s="164"/>
      <c r="BH161" s="164"/>
      <c r="BI161" s="164"/>
    </row>
    <row r="162" ht="15.75" customHeight="1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  <c r="AD162" s="164"/>
      <c r="AE162" s="164"/>
      <c r="AF162" s="164"/>
      <c r="AG162" s="164"/>
      <c r="AH162" s="164"/>
      <c r="AI162" s="164"/>
      <c r="AJ162" s="164"/>
      <c r="AK162" s="164"/>
      <c r="AL162" s="164"/>
      <c r="AM162" s="164"/>
      <c r="AN162" s="164"/>
      <c r="AO162" s="164"/>
      <c r="AP162" s="164"/>
      <c r="AQ162" s="164"/>
      <c r="AR162" s="164"/>
      <c r="AS162" s="164"/>
      <c r="AT162" s="164"/>
      <c r="AU162" s="164"/>
      <c r="AV162" s="164"/>
      <c r="AW162" s="164"/>
      <c r="AX162" s="164"/>
      <c r="AY162" s="164"/>
      <c r="AZ162" s="164"/>
      <c r="BA162" s="164"/>
      <c r="BB162" s="164"/>
      <c r="BC162" s="164"/>
      <c r="BD162" s="164"/>
      <c r="BE162" s="164"/>
      <c r="BF162" s="164"/>
      <c r="BG162" s="164"/>
      <c r="BH162" s="164"/>
      <c r="BI162" s="164"/>
    </row>
    <row r="163" ht="15.75" customHeight="1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  <c r="AE163" s="164"/>
      <c r="AF163" s="164"/>
      <c r="AG163" s="164"/>
      <c r="AH163" s="164"/>
      <c r="AI163" s="164"/>
      <c r="AJ163" s="164"/>
      <c r="AK163" s="164"/>
      <c r="AL163" s="164"/>
      <c r="AM163" s="164"/>
      <c r="AN163" s="164"/>
      <c r="AO163" s="164"/>
      <c r="AP163" s="164"/>
      <c r="AQ163" s="164"/>
      <c r="AR163" s="164"/>
      <c r="AS163" s="164"/>
      <c r="AT163" s="164"/>
      <c r="AU163" s="164"/>
      <c r="AV163" s="164"/>
      <c r="AW163" s="164"/>
      <c r="AX163" s="164"/>
      <c r="AY163" s="164"/>
      <c r="AZ163" s="164"/>
      <c r="BA163" s="164"/>
      <c r="BB163" s="164"/>
      <c r="BC163" s="164"/>
      <c r="BD163" s="164"/>
      <c r="BE163" s="164"/>
      <c r="BF163" s="164"/>
      <c r="BG163" s="164"/>
      <c r="BH163" s="164"/>
      <c r="BI163" s="164"/>
    </row>
    <row r="164" ht="15.75" customHeight="1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  <c r="AE164" s="164"/>
      <c r="AF164" s="164"/>
      <c r="AG164" s="164"/>
      <c r="AH164" s="164"/>
      <c r="AI164" s="164"/>
      <c r="AJ164" s="164"/>
      <c r="AK164" s="164"/>
      <c r="AL164" s="164"/>
      <c r="AM164" s="164"/>
      <c r="AN164" s="164"/>
      <c r="AO164" s="164"/>
      <c r="AP164" s="164"/>
      <c r="AQ164" s="164"/>
      <c r="AR164" s="164"/>
      <c r="AS164" s="164"/>
      <c r="AT164" s="164"/>
      <c r="AU164" s="164"/>
      <c r="AV164" s="164"/>
      <c r="AW164" s="164"/>
      <c r="AX164" s="164"/>
      <c r="AY164" s="164"/>
      <c r="AZ164" s="164"/>
      <c r="BA164" s="164"/>
      <c r="BB164" s="164"/>
      <c r="BC164" s="164"/>
      <c r="BD164" s="164"/>
      <c r="BE164" s="164"/>
      <c r="BF164" s="164"/>
      <c r="BG164" s="164"/>
      <c r="BH164" s="164"/>
      <c r="BI164" s="164"/>
    </row>
    <row r="165" ht="15.75" customHeight="1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  <c r="AD165" s="164"/>
      <c r="AE165" s="164"/>
      <c r="AF165" s="164"/>
      <c r="AG165" s="164"/>
      <c r="AH165" s="164"/>
      <c r="AI165" s="164"/>
      <c r="AJ165" s="164"/>
      <c r="AK165" s="164"/>
      <c r="AL165" s="164"/>
      <c r="AM165" s="164"/>
      <c r="AN165" s="164"/>
      <c r="AO165" s="164"/>
      <c r="AP165" s="164"/>
      <c r="AQ165" s="164"/>
      <c r="AR165" s="164"/>
      <c r="AS165" s="164"/>
      <c r="AT165" s="164"/>
      <c r="AU165" s="164"/>
      <c r="AV165" s="164"/>
      <c r="AW165" s="164"/>
      <c r="AX165" s="164"/>
      <c r="AY165" s="164"/>
      <c r="AZ165" s="164"/>
      <c r="BA165" s="164"/>
      <c r="BB165" s="164"/>
      <c r="BC165" s="164"/>
      <c r="BD165" s="164"/>
      <c r="BE165" s="164"/>
      <c r="BF165" s="164"/>
      <c r="BG165" s="164"/>
      <c r="BH165" s="164"/>
      <c r="BI165" s="164"/>
    </row>
    <row r="166" ht="15.75" customHeight="1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  <c r="AD166" s="164"/>
      <c r="AE166" s="164"/>
      <c r="AF166" s="164"/>
      <c r="AG166" s="164"/>
      <c r="AH166" s="164"/>
      <c r="AI166" s="164"/>
      <c r="AJ166" s="164"/>
      <c r="AK166" s="164"/>
      <c r="AL166" s="164"/>
      <c r="AM166" s="164"/>
      <c r="AN166" s="164"/>
      <c r="AO166" s="164"/>
      <c r="AP166" s="164"/>
      <c r="AQ166" s="164"/>
      <c r="AR166" s="164"/>
      <c r="AS166" s="164"/>
      <c r="AT166" s="164"/>
      <c r="AU166" s="164"/>
      <c r="AV166" s="164"/>
      <c r="AW166" s="164"/>
      <c r="AX166" s="164"/>
      <c r="AY166" s="164"/>
      <c r="AZ166" s="164"/>
      <c r="BA166" s="164"/>
      <c r="BB166" s="164"/>
      <c r="BC166" s="164"/>
      <c r="BD166" s="164"/>
      <c r="BE166" s="164"/>
      <c r="BF166" s="164"/>
      <c r="BG166" s="164"/>
      <c r="BH166" s="164"/>
      <c r="BI166" s="164"/>
    </row>
    <row r="167" ht="15.75" customHeight="1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64"/>
      <c r="AJ167" s="164"/>
      <c r="AK167" s="164"/>
      <c r="AL167" s="164"/>
      <c r="AM167" s="164"/>
      <c r="AN167" s="164"/>
      <c r="AO167" s="164"/>
      <c r="AP167" s="164"/>
      <c r="AQ167" s="164"/>
      <c r="AR167" s="164"/>
      <c r="AS167" s="164"/>
      <c r="AT167" s="164"/>
      <c r="AU167" s="164"/>
      <c r="AV167" s="164"/>
      <c r="AW167" s="164"/>
      <c r="AX167" s="164"/>
      <c r="AY167" s="164"/>
      <c r="AZ167" s="164"/>
      <c r="BA167" s="164"/>
      <c r="BB167" s="164"/>
      <c r="BC167" s="164"/>
      <c r="BD167" s="164"/>
      <c r="BE167" s="164"/>
      <c r="BF167" s="164"/>
      <c r="BG167" s="164"/>
      <c r="BH167" s="164"/>
      <c r="BI167" s="164"/>
    </row>
    <row r="168" ht="15.75" customHeight="1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  <c r="AG168" s="164"/>
      <c r="AH168" s="164"/>
      <c r="AI168" s="164"/>
      <c r="AJ168" s="164"/>
      <c r="AK168" s="164"/>
      <c r="AL168" s="164"/>
      <c r="AM168" s="164"/>
      <c r="AN168" s="164"/>
      <c r="AO168" s="164"/>
      <c r="AP168" s="164"/>
      <c r="AQ168" s="164"/>
      <c r="AR168" s="164"/>
      <c r="AS168" s="164"/>
      <c r="AT168" s="164"/>
      <c r="AU168" s="164"/>
      <c r="AV168" s="164"/>
      <c r="AW168" s="164"/>
      <c r="AX168" s="164"/>
      <c r="AY168" s="164"/>
      <c r="AZ168" s="164"/>
      <c r="BA168" s="164"/>
      <c r="BB168" s="164"/>
      <c r="BC168" s="164"/>
      <c r="BD168" s="164"/>
      <c r="BE168" s="164"/>
      <c r="BF168" s="164"/>
      <c r="BG168" s="164"/>
      <c r="BH168" s="164"/>
      <c r="BI168" s="164"/>
    </row>
    <row r="169" ht="15.75" customHeight="1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  <c r="AD169" s="164"/>
      <c r="AE169" s="164"/>
      <c r="AF169" s="164"/>
      <c r="AG169" s="164"/>
      <c r="AH169" s="164"/>
      <c r="AI169" s="164"/>
      <c r="AJ169" s="164"/>
      <c r="AK169" s="164"/>
      <c r="AL169" s="164"/>
      <c r="AM169" s="164"/>
      <c r="AN169" s="164"/>
      <c r="AO169" s="164"/>
      <c r="AP169" s="164"/>
      <c r="AQ169" s="164"/>
      <c r="AR169" s="164"/>
      <c r="AS169" s="164"/>
      <c r="AT169" s="164"/>
      <c r="AU169" s="164"/>
      <c r="AV169" s="164"/>
      <c r="AW169" s="164"/>
      <c r="AX169" s="164"/>
      <c r="AY169" s="164"/>
      <c r="AZ169" s="164"/>
      <c r="BA169" s="164"/>
      <c r="BB169" s="164"/>
      <c r="BC169" s="164"/>
      <c r="BD169" s="164"/>
      <c r="BE169" s="164"/>
      <c r="BF169" s="164"/>
      <c r="BG169" s="164"/>
      <c r="BH169" s="164"/>
      <c r="BI169" s="164"/>
    </row>
    <row r="170" ht="15.75" customHeight="1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  <c r="AC170" s="164"/>
      <c r="AD170" s="164"/>
      <c r="AE170" s="164"/>
      <c r="AF170" s="164"/>
      <c r="AG170" s="164"/>
      <c r="AH170" s="164"/>
      <c r="AI170" s="164"/>
      <c r="AJ170" s="164"/>
      <c r="AK170" s="164"/>
      <c r="AL170" s="164"/>
      <c r="AM170" s="164"/>
      <c r="AN170" s="164"/>
      <c r="AO170" s="164"/>
      <c r="AP170" s="164"/>
      <c r="AQ170" s="164"/>
      <c r="AR170" s="164"/>
      <c r="AS170" s="164"/>
      <c r="AT170" s="164"/>
      <c r="AU170" s="164"/>
      <c r="AV170" s="164"/>
      <c r="AW170" s="164"/>
      <c r="AX170" s="164"/>
      <c r="AY170" s="164"/>
      <c r="AZ170" s="164"/>
      <c r="BA170" s="164"/>
      <c r="BB170" s="164"/>
      <c r="BC170" s="164"/>
      <c r="BD170" s="164"/>
      <c r="BE170" s="164"/>
      <c r="BF170" s="164"/>
      <c r="BG170" s="164"/>
      <c r="BH170" s="164"/>
      <c r="BI170" s="164"/>
    </row>
    <row r="171" ht="15.75" customHeight="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  <c r="AK171" s="164"/>
      <c r="AL171" s="164"/>
      <c r="AM171" s="164"/>
      <c r="AN171" s="164"/>
      <c r="AO171" s="164"/>
      <c r="AP171" s="164"/>
      <c r="AQ171" s="164"/>
      <c r="AR171" s="164"/>
      <c r="AS171" s="164"/>
      <c r="AT171" s="164"/>
      <c r="AU171" s="164"/>
      <c r="AV171" s="164"/>
      <c r="AW171" s="164"/>
      <c r="AX171" s="164"/>
      <c r="AY171" s="164"/>
      <c r="AZ171" s="164"/>
      <c r="BA171" s="164"/>
      <c r="BB171" s="164"/>
      <c r="BC171" s="164"/>
      <c r="BD171" s="164"/>
      <c r="BE171" s="164"/>
      <c r="BF171" s="164"/>
      <c r="BG171" s="164"/>
      <c r="BH171" s="164"/>
      <c r="BI171" s="164"/>
    </row>
    <row r="172" ht="15.75" customHeight="1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  <c r="AD172" s="164"/>
      <c r="AE172" s="164"/>
      <c r="AF172" s="164"/>
      <c r="AG172" s="164"/>
      <c r="AH172" s="164"/>
      <c r="AI172" s="164"/>
      <c r="AJ172" s="164"/>
      <c r="AK172" s="164"/>
      <c r="AL172" s="164"/>
      <c r="AM172" s="164"/>
      <c r="AN172" s="164"/>
      <c r="AO172" s="164"/>
      <c r="AP172" s="164"/>
      <c r="AQ172" s="164"/>
      <c r="AR172" s="164"/>
      <c r="AS172" s="164"/>
      <c r="AT172" s="164"/>
      <c r="AU172" s="164"/>
      <c r="AV172" s="164"/>
      <c r="AW172" s="164"/>
      <c r="AX172" s="164"/>
      <c r="AY172" s="164"/>
      <c r="AZ172" s="164"/>
      <c r="BA172" s="164"/>
      <c r="BB172" s="164"/>
      <c r="BC172" s="164"/>
      <c r="BD172" s="164"/>
      <c r="BE172" s="164"/>
      <c r="BF172" s="164"/>
      <c r="BG172" s="164"/>
      <c r="BH172" s="164"/>
      <c r="BI172" s="164"/>
    </row>
    <row r="173" ht="15.75" customHeight="1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  <c r="AD173" s="164"/>
      <c r="AE173" s="164"/>
      <c r="AF173" s="164"/>
      <c r="AG173" s="164"/>
      <c r="AH173" s="164"/>
      <c r="AI173" s="164"/>
      <c r="AJ173" s="164"/>
      <c r="AK173" s="164"/>
      <c r="AL173" s="164"/>
      <c r="AM173" s="164"/>
      <c r="AN173" s="164"/>
      <c r="AO173" s="164"/>
      <c r="AP173" s="164"/>
      <c r="AQ173" s="164"/>
      <c r="AR173" s="164"/>
      <c r="AS173" s="164"/>
      <c r="AT173" s="164"/>
      <c r="AU173" s="164"/>
      <c r="AV173" s="164"/>
      <c r="AW173" s="164"/>
      <c r="AX173" s="164"/>
      <c r="AY173" s="164"/>
      <c r="AZ173" s="164"/>
      <c r="BA173" s="164"/>
      <c r="BB173" s="164"/>
      <c r="BC173" s="164"/>
      <c r="BD173" s="164"/>
      <c r="BE173" s="164"/>
      <c r="BF173" s="164"/>
      <c r="BG173" s="164"/>
      <c r="BH173" s="164"/>
      <c r="BI173" s="164"/>
    </row>
    <row r="174" ht="15.75" customHeight="1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  <c r="AD174" s="164"/>
      <c r="AE174" s="164"/>
      <c r="AF174" s="164"/>
      <c r="AG174" s="164"/>
      <c r="AH174" s="164"/>
      <c r="AI174" s="164"/>
      <c r="AJ174" s="164"/>
      <c r="AK174" s="164"/>
      <c r="AL174" s="164"/>
      <c r="AM174" s="164"/>
      <c r="AN174" s="164"/>
      <c r="AO174" s="164"/>
      <c r="AP174" s="164"/>
      <c r="AQ174" s="164"/>
      <c r="AR174" s="164"/>
      <c r="AS174" s="164"/>
      <c r="AT174" s="164"/>
      <c r="AU174" s="164"/>
      <c r="AV174" s="164"/>
      <c r="AW174" s="164"/>
      <c r="AX174" s="164"/>
      <c r="AY174" s="164"/>
      <c r="AZ174" s="164"/>
      <c r="BA174" s="164"/>
      <c r="BB174" s="164"/>
      <c r="BC174" s="164"/>
      <c r="BD174" s="164"/>
      <c r="BE174" s="164"/>
      <c r="BF174" s="164"/>
      <c r="BG174" s="164"/>
      <c r="BH174" s="164"/>
      <c r="BI174" s="164"/>
    </row>
    <row r="175" ht="15.75" customHeight="1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  <c r="AD175" s="164"/>
      <c r="AE175" s="164"/>
      <c r="AF175" s="164"/>
      <c r="AG175" s="164"/>
      <c r="AH175" s="164"/>
      <c r="AI175" s="164"/>
      <c r="AJ175" s="164"/>
      <c r="AK175" s="164"/>
      <c r="AL175" s="164"/>
      <c r="AM175" s="164"/>
      <c r="AN175" s="164"/>
      <c r="AO175" s="164"/>
      <c r="AP175" s="164"/>
      <c r="AQ175" s="164"/>
      <c r="AR175" s="164"/>
      <c r="AS175" s="164"/>
      <c r="AT175" s="164"/>
      <c r="AU175" s="164"/>
      <c r="AV175" s="164"/>
      <c r="AW175" s="164"/>
      <c r="AX175" s="164"/>
      <c r="AY175" s="164"/>
      <c r="AZ175" s="164"/>
      <c r="BA175" s="164"/>
      <c r="BB175" s="164"/>
      <c r="BC175" s="164"/>
      <c r="BD175" s="164"/>
      <c r="BE175" s="164"/>
      <c r="BF175" s="164"/>
      <c r="BG175" s="164"/>
      <c r="BH175" s="164"/>
      <c r="BI175" s="164"/>
    </row>
    <row r="176" ht="15.75" customHeight="1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  <c r="AE176" s="164"/>
      <c r="AF176" s="164"/>
      <c r="AG176" s="164"/>
      <c r="AH176" s="164"/>
      <c r="AI176" s="164"/>
      <c r="AJ176" s="164"/>
      <c r="AK176" s="164"/>
      <c r="AL176" s="164"/>
      <c r="AM176" s="164"/>
      <c r="AN176" s="164"/>
      <c r="AO176" s="164"/>
      <c r="AP176" s="164"/>
      <c r="AQ176" s="164"/>
      <c r="AR176" s="164"/>
      <c r="AS176" s="164"/>
      <c r="AT176" s="164"/>
      <c r="AU176" s="164"/>
      <c r="AV176" s="164"/>
      <c r="AW176" s="164"/>
      <c r="AX176" s="164"/>
      <c r="AY176" s="164"/>
      <c r="AZ176" s="164"/>
      <c r="BA176" s="164"/>
      <c r="BB176" s="164"/>
      <c r="BC176" s="164"/>
      <c r="BD176" s="164"/>
      <c r="BE176" s="164"/>
      <c r="BF176" s="164"/>
      <c r="BG176" s="164"/>
      <c r="BH176" s="164"/>
      <c r="BI176" s="164"/>
    </row>
    <row r="177" ht="15.75" customHeight="1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  <c r="AD177" s="164"/>
      <c r="AE177" s="164"/>
      <c r="AF177" s="164"/>
      <c r="AG177" s="164"/>
      <c r="AH177" s="164"/>
      <c r="AI177" s="164"/>
      <c r="AJ177" s="164"/>
      <c r="AK177" s="164"/>
      <c r="AL177" s="164"/>
      <c r="AM177" s="164"/>
      <c r="AN177" s="164"/>
      <c r="AO177" s="164"/>
      <c r="AP177" s="164"/>
      <c r="AQ177" s="164"/>
      <c r="AR177" s="164"/>
      <c r="AS177" s="164"/>
      <c r="AT177" s="164"/>
      <c r="AU177" s="164"/>
      <c r="AV177" s="164"/>
      <c r="AW177" s="164"/>
      <c r="AX177" s="164"/>
      <c r="AY177" s="164"/>
      <c r="AZ177" s="164"/>
      <c r="BA177" s="164"/>
      <c r="BB177" s="164"/>
      <c r="BC177" s="164"/>
      <c r="BD177" s="164"/>
      <c r="BE177" s="164"/>
      <c r="BF177" s="164"/>
      <c r="BG177" s="164"/>
      <c r="BH177" s="164"/>
      <c r="BI177" s="164"/>
    </row>
    <row r="178" ht="15.75" customHeight="1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  <c r="AD178" s="164"/>
      <c r="AE178" s="164"/>
      <c r="AF178" s="164"/>
      <c r="AG178" s="164"/>
      <c r="AH178" s="164"/>
      <c r="AI178" s="164"/>
      <c r="AJ178" s="164"/>
      <c r="AK178" s="164"/>
      <c r="AL178" s="164"/>
      <c r="AM178" s="164"/>
      <c r="AN178" s="164"/>
      <c r="AO178" s="164"/>
      <c r="AP178" s="164"/>
      <c r="AQ178" s="164"/>
      <c r="AR178" s="164"/>
      <c r="AS178" s="164"/>
      <c r="AT178" s="164"/>
      <c r="AU178" s="164"/>
      <c r="AV178" s="164"/>
      <c r="AW178" s="164"/>
      <c r="AX178" s="164"/>
      <c r="AY178" s="164"/>
      <c r="AZ178" s="164"/>
      <c r="BA178" s="164"/>
      <c r="BB178" s="164"/>
      <c r="BC178" s="164"/>
      <c r="BD178" s="164"/>
      <c r="BE178" s="164"/>
      <c r="BF178" s="164"/>
      <c r="BG178" s="164"/>
      <c r="BH178" s="164"/>
      <c r="BI178" s="164"/>
    </row>
    <row r="179" ht="15.75" customHeight="1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  <c r="AD179" s="164"/>
      <c r="AE179" s="164"/>
      <c r="AF179" s="164"/>
      <c r="AG179" s="164"/>
      <c r="AH179" s="164"/>
      <c r="AI179" s="164"/>
      <c r="AJ179" s="164"/>
      <c r="AK179" s="164"/>
      <c r="AL179" s="164"/>
      <c r="AM179" s="164"/>
      <c r="AN179" s="164"/>
      <c r="AO179" s="164"/>
      <c r="AP179" s="164"/>
      <c r="AQ179" s="164"/>
      <c r="AR179" s="164"/>
      <c r="AS179" s="164"/>
      <c r="AT179" s="164"/>
      <c r="AU179" s="164"/>
      <c r="AV179" s="164"/>
      <c r="AW179" s="164"/>
      <c r="AX179" s="164"/>
      <c r="AY179" s="164"/>
      <c r="AZ179" s="164"/>
      <c r="BA179" s="164"/>
      <c r="BB179" s="164"/>
      <c r="BC179" s="164"/>
      <c r="BD179" s="164"/>
      <c r="BE179" s="164"/>
      <c r="BF179" s="164"/>
      <c r="BG179" s="164"/>
      <c r="BH179" s="164"/>
      <c r="BI179" s="164"/>
    </row>
    <row r="180" ht="15.75" customHeight="1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  <c r="AD180" s="164"/>
      <c r="AE180" s="164"/>
      <c r="AF180" s="164"/>
      <c r="AG180" s="164"/>
      <c r="AH180" s="164"/>
      <c r="AI180" s="164"/>
      <c r="AJ180" s="164"/>
      <c r="AK180" s="164"/>
      <c r="AL180" s="164"/>
      <c r="AM180" s="164"/>
      <c r="AN180" s="164"/>
      <c r="AO180" s="164"/>
      <c r="AP180" s="164"/>
      <c r="AQ180" s="164"/>
      <c r="AR180" s="164"/>
      <c r="AS180" s="164"/>
      <c r="AT180" s="164"/>
      <c r="AU180" s="164"/>
      <c r="AV180" s="164"/>
      <c r="AW180" s="164"/>
      <c r="AX180" s="164"/>
      <c r="AY180" s="164"/>
      <c r="AZ180" s="164"/>
      <c r="BA180" s="164"/>
      <c r="BB180" s="164"/>
      <c r="BC180" s="164"/>
      <c r="BD180" s="164"/>
      <c r="BE180" s="164"/>
      <c r="BF180" s="164"/>
      <c r="BG180" s="164"/>
      <c r="BH180" s="164"/>
      <c r="BI180" s="164"/>
    </row>
    <row r="181" ht="15.75" customHeight="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  <c r="AD181" s="164"/>
      <c r="AE181" s="164"/>
      <c r="AF181" s="164"/>
      <c r="AG181" s="164"/>
      <c r="AH181" s="164"/>
      <c r="AI181" s="164"/>
      <c r="AJ181" s="164"/>
      <c r="AK181" s="164"/>
      <c r="AL181" s="164"/>
      <c r="AM181" s="164"/>
      <c r="AN181" s="164"/>
      <c r="AO181" s="164"/>
      <c r="AP181" s="164"/>
      <c r="AQ181" s="164"/>
      <c r="AR181" s="164"/>
      <c r="AS181" s="164"/>
      <c r="AT181" s="164"/>
      <c r="AU181" s="164"/>
      <c r="AV181" s="164"/>
      <c r="AW181" s="164"/>
      <c r="AX181" s="164"/>
      <c r="AY181" s="164"/>
      <c r="AZ181" s="164"/>
      <c r="BA181" s="164"/>
      <c r="BB181" s="164"/>
      <c r="BC181" s="164"/>
      <c r="BD181" s="164"/>
      <c r="BE181" s="164"/>
      <c r="BF181" s="164"/>
      <c r="BG181" s="164"/>
      <c r="BH181" s="164"/>
      <c r="BI181" s="164"/>
    </row>
    <row r="182" ht="15.75" customHeight="1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  <c r="AD182" s="164"/>
      <c r="AE182" s="164"/>
      <c r="AF182" s="164"/>
      <c r="AG182" s="164"/>
      <c r="AH182" s="164"/>
      <c r="AI182" s="164"/>
      <c r="AJ182" s="164"/>
      <c r="AK182" s="164"/>
      <c r="AL182" s="164"/>
      <c r="AM182" s="164"/>
      <c r="AN182" s="164"/>
      <c r="AO182" s="164"/>
      <c r="AP182" s="164"/>
      <c r="AQ182" s="164"/>
      <c r="AR182" s="164"/>
      <c r="AS182" s="164"/>
      <c r="AT182" s="164"/>
      <c r="AU182" s="164"/>
      <c r="AV182" s="164"/>
      <c r="AW182" s="164"/>
      <c r="AX182" s="164"/>
      <c r="AY182" s="164"/>
      <c r="AZ182" s="164"/>
      <c r="BA182" s="164"/>
      <c r="BB182" s="164"/>
      <c r="BC182" s="164"/>
      <c r="BD182" s="164"/>
      <c r="BE182" s="164"/>
      <c r="BF182" s="164"/>
      <c r="BG182" s="164"/>
      <c r="BH182" s="164"/>
      <c r="BI182" s="164"/>
    </row>
    <row r="183" ht="15.75" customHeight="1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  <c r="AD183" s="164"/>
      <c r="AE183" s="164"/>
      <c r="AF183" s="164"/>
      <c r="AG183" s="164"/>
      <c r="AH183" s="164"/>
      <c r="AI183" s="164"/>
      <c r="AJ183" s="164"/>
      <c r="AK183" s="164"/>
      <c r="AL183" s="164"/>
      <c r="AM183" s="164"/>
      <c r="AN183" s="164"/>
      <c r="AO183" s="164"/>
      <c r="AP183" s="164"/>
      <c r="AQ183" s="164"/>
      <c r="AR183" s="164"/>
      <c r="AS183" s="164"/>
      <c r="AT183" s="164"/>
      <c r="AU183" s="164"/>
      <c r="AV183" s="164"/>
      <c r="AW183" s="164"/>
      <c r="AX183" s="164"/>
      <c r="AY183" s="164"/>
      <c r="AZ183" s="164"/>
      <c r="BA183" s="164"/>
      <c r="BB183" s="164"/>
      <c r="BC183" s="164"/>
      <c r="BD183" s="164"/>
      <c r="BE183" s="164"/>
      <c r="BF183" s="164"/>
      <c r="BG183" s="164"/>
      <c r="BH183" s="164"/>
      <c r="BI183" s="164"/>
    </row>
    <row r="184" ht="15.75" customHeight="1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  <c r="AD184" s="164"/>
      <c r="AE184" s="164"/>
      <c r="AF184" s="164"/>
      <c r="AG184" s="164"/>
      <c r="AH184" s="164"/>
      <c r="AI184" s="164"/>
      <c r="AJ184" s="164"/>
      <c r="AK184" s="164"/>
      <c r="AL184" s="164"/>
      <c r="AM184" s="164"/>
      <c r="AN184" s="164"/>
      <c r="AO184" s="164"/>
      <c r="AP184" s="164"/>
      <c r="AQ184" s="164"/>
      <c r="AR184" s="164"/>
      <c r="AS184" s="164"/>
      <c r="AT184" s="164"/>
      <c r="AU184" s="164"/>
      <c r="AV184" s="164"/>
      <c r="AW184" s="164"/>
      <c r="AX184" s="164"/>
      <c r="AY184" s="164"/>
      <c r="AZ184" s="164"/>
      <c r="BA184" s="164"/>
      <c r="BB184" s="164"/>
      <c r="BC184" s="164"/>
      <c r="BD184" s="164"/>
      <c r="BE184" s="164"/>
      <c r="BF184" s="164"/>
      <c r="BG184" s="164"/>
      <c r="BH184" s="164"/>
      <c r="BI184" s="164"/>
    </row>
    <row r="185" ht="15.75" customHeight="1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  <c r="AG185" s="164"/>
      <c r="AH185" s="164"/>
      <c r="AI185" s="164"/>
      <c r="AJ185" s="164"/>
      <c r="AK185" s="164"/>
      <c r="AL185" s="164"/>
      <c r="AM185" s="164"/>
      <c r="AN185" s="164"/>
      <c r="AO185" s="164"/>
      <c r="AP185" s="164"/>
      <c r="AQ185" s="164"/>
      <c r="AR185" s="164"/>
      <c r="AS185" s="164"/>
      <c r="AT185" s="164"/>
      <c r="AU185" s="164"/>
      <c r="AV185" s="164"/>
      <c r="AW185" s="164"/>
      <c r="AX185" s="164"/>
      <c r="AY185" s="164"/>
      <c r="AZ185" s="164"/>
      <c r="BA185" s="164"/>
      <c r="BB185" s="164"/>
      <c r="BC185" s="164"/>
      <c r="BD185" s="164"/>
      <c r="BE185" s="164"/>
      <c r="BF185" s="164"/>
      <c r="BG185" s="164"/>
      <c r="BH185" s="164"/>
      <c r="BI185" s="164"/>
    </row>
    <row r="186" ht="15.75" customHeight="1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  <c r="AE186" s="164"/>
      <c r="AF186" s="164"/>
      <c r="AG186" s="164"/>
      <c r="AH186" s="164"/>
      <c r="AI186" s="164"/>
      <c r="AJ186" s="164"/>
      <c r="AK186" s="164"/>
      <c r="AL186" s="164"/>
      <c r="AM186" s="164"/>
      <c r="AN186" s="164"/>
      <c r="AO186" s="164"/>
      <c r="AP186" s="164"/>
      <c r="AQ186" s="164"/>
      <c r="AR186" s="164"/>
      <c r="AS186" s="164"/>
      <c r="AT186" s="164"/>
      <c r="AU186" s="164"/>
      <c r="AV186" s="164"/>
      <c r="AW186" s="164"/>
      <c r="AX186" s="164"/>
      <c r="AY186" s="164"/>
      <c r="AZ186" s="164"/>
      <c r="BA186" s="164"/>
      <c r="BB186" s="164"/>
      <c r="BC186" s="164"/>
      <c r="BD186" s="164"/>
      <c r="BE186" s="164"/>
      <c r="BF186" s="164"/>
      <c r="BG186" s="164"/>
      <c r="BH186" s="164"/>
      <c r="BI186" s="164"/>
    </row>
    <row r="187" ht="15.75" customHeight="1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  <c r="AD187" s="164"/>
      <c r="AE187" s="164"/>
      <c r="AF187" s="164"/>
      <c r="AG187" s="164"/>
      <c r="AH187" s="164"/>
      <c r="AI187" s="164"/>
      <c r="AJ187" s="164"/>
      <c r="AK187" s="164"/>
      <c r="AL187" s="164"/>
      <c r="AM187" s="164"/>
      <c r="AN187" s="164"/>
      <c r="AO187" s="164"/>
      <c r="AP187" s="164"/>
      <c r="AQ187" s="164"/>
      <c r="AR187" s="164"/>
      <c r="AS187" s="164"/>
      <c r="AT187" s="164"/>
      <c r="AU187" s="164"/>
      <c r="AV187" s="164"/>
      <c r="AW187" s="164"/>
      <c r="AX187" s="164"/>
      <c r="AY187" s="164"/>
      <c r="AZ187" s="164"/>
      <c r="BA187" s="164"/>
      <c r="BB187" s="164"/>
      <c r="BC187" s="164"/>
      <c r="BD187" s="164"/>
      <c r="BE187" s="164"/>
      <c r="BF187" s="164"/>
      <c r="BG187" s="164"/>
      <c r="BH187" s="164"/>
      <c r="BI187" s="164"/>
    </row>
    <row r="188" ht="15.75" customHeight="1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  <c r="AD188" s="164"/>
      <c r="AE188" s="164"/>
      <c r="AF188" s="164"/>
      <c r="AG188" s="164"/>
      <c r="AH188" s="164"/>
      <c r="AI188" s="164"/>
      <c r="AJ188" s="164"/>
      <c r="AK188" s="164"/>
      <c r="AL188" s="164"/>
      <c r="AM188" s="164"/>
      <c r="AN188" s="164"/>
      <c r="AO188" s="164"/>
      <c r="AP188" s="164"/>
      <c r="AQ188" s="164"/>
      <c r="AR188" s="164"/>
      <c r="AS188" s="164"/>
      <c r="AT188" s="164"/>
      <c r="AU188" s="164"/>
      <c r="AV188" s="164"/>
      <c r="AW188" s="164"/>
      <c r="AX188" s="164"/>
      <c r="AY188" s="164"/>
      <c r="AZ188" s="164"/>
      <c r="BA188" s="164"/>
      <c r="BB188" s="164"/>
      <c r="BC188" s="164"/>
      <c r="BD188" s="164"/>
      <c r="BE188" s="164"/>
      <c r="BF188" s="164"/>
      <c r="BG188" s="164"/>
      <c r="BH188" s="164"/>
      <c r="BI188" s="164"/>
    </row>
    <row r="189" ht="15.75" customHeight="1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  <c r="AD189" s="164"/>
      <c r="AE189" s="164"/>
      <c r="AF189" s="164"/>
      <c r="AG189" s="164"/>
      <c r="AH189" s="164"/>
      <c r="AI189" s="164"/>
      <c r="AJ189" s="164"/>
      <c r="AK189" s="164"/>
      <c r="AL189" s="164"/>
      <c r="AM189" s="164"/>
      <c r="AN189" s="164"/>
      <c r="AO189" s="164"/>
      <c r="AP189" s="164"/>
      <c r="AQ189" s="164"/>
      <c r="AR189" s="164"/>
      <c r="AS189" s="164"/>
      <c r="AT189" s="164"/>
      <c r="AU189" s="164"/>
      <c r="AV189" s="164"/>
      <c r="AW189" s="164"/>
      <c r="AX189" s="164"/>
      <c r="AY189" s="164"/>
      <c r="AZ189" s="164"/>
      <c r="BA189" s="164"/>
      <c r="BB189" s="164"/>
      <c r="BC189" s="164"/>
      <c r="BD189" s="164"/>
      <c r="BE189" s="164"/>
      <c r="BF189" s="164"/>
      <c r="BG189" s="164"/>
      <c r="BH189" s="164"/>
      <c r="BI189" s="164"/>
    </row>
    <row r="190" ht="15.75" customHeight="1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  <c r="AD190" s="164"/>
      <c r="AE190" s="164"/>
      <c r="AF190" s="164"/>
      <c r="AG190" s="164"/>
      <c r="AH190" s="164"/>
      <c r="AI190" s="164"/>
      <c r="AJ190" s="164"/>
      <c r="AK190" s="164"/>
      <c r="AL190" s="164"/>
      <c r="AM190" s="164"/>
      <c r="AN190" s="164"/>
      <c r="AO190" s="164"/>
      <c r="AP190" s="164"/>
      <c r="AQ190" s="164"/>
      <c r="AR190" s="164"/>
      <c r="AS190" s="164"/>
      <c r="AT190" s="164"/>
      <c r="AU190" s="164"/>
      <c r="AV190" s="164"/>
      <c r="AW190" s="164"/>
      <c r="AX190" s="164"/>
      <c r="AY190" s="164"/>
      <c r="AZ190" s="164"/>
      <c r="BA190" s="164"/>
      <c r="BB190" s="164"/>
      <c r="BC190" s="164"/>
      <c r="BD190" s="164"/>
      <c r="BE190" s="164"/>
      <c r="BF190" s="164"/>
      <c r="BG190" s="164"/>
      <c r="BH190" s="164"/>
      <c r="BI190" s="164"/>
    </row>
    <row r="191" ht="15.75" customHeight="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  <c r="AD191" s="164"/>
      <c r="AE191" s="164"/>
      <c r="AF191" s="164"/>
      <c r="AG191" s="164"/>
      <c r="AH191" s="164"/>
      <c r="AI191" s="164"/>
      <c r="AJ191" s="164"/>
      <c r="AK191" s="164"/>
      <c r="AL191" s="164"/>
      <c r="AM191" s="164"/>
      <c r="AN191" s="164"/>
      <c r="AO191" s="164"/>
      <c r="AP191" s="164"/>
      <c r="AQ191" s="164"/>
      <c r="AR191" s="164"/>
      <c r="AS191" s="164"/>
      <c r="AT191" s="164"/>
      <c r="AU191" s="164"/>
      <c r="AV191" s="164"/>
      <c r="AW191" s="164"/>
      <c r="AX191" s="164"/>
      <c r="AY191" s="164"/>
      <c r="AZ191" s="164"/>
      <c r="BA191" s="164"/>
      <c r="BB191" s="164"/>
      <c r="BC191" s="164"/>
      <c r="BD191" s="164"/>
      <c r="BE191" s="164"/>
      <c r="BF191" s="164"/>
      <c r="BG191" s="164"/>
      <c r="BH191" s="164"/>
      <c r="BI191" s="164"/>
    </row>
    <row r="192" ht="15.75" customHeight="1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  <c r="AD192" s="164"/>
      <c r="AE192" s="164"/>
      <c r="AF192" s="164"/>
      <c r="AG192" s="164"/>
      <c r="AH192" s="164"/>
      <c r="AI192" s="164"/>
      <c r="AJ192" s="164"/>
      <c r="AK192" s="164"/>
      <c r="AL192" s="164"/>
      <c r="AM192" s="164"/>
      <c r="AN192" s="164"/>
      <c r="AO192" s="164"/>
      <c r="AP192" s="164"/>
      <c r="AQ192" s="164"/>
      <c r="AR192" s="164"/>
      <c r="AS192" s="164"/>
      <c r="AT192" s="164"/>
      <c r="AU192" s="164"/>
      <c r="AV192" s="164"/>
      <c r="AW192" s="164"/>
      <c r="AX192" s="164"/>
      <c r="AY192" s="164"/>
      <c r="AZ192" s="164"/>
      <c r="BA192" s="164"/>
      <c r="BB192" s="164"/>
      <c r="BC192" s="164"/>
      <c r="BD192" s="164"/>
      <c r="BE192" s="164"/>
      <c r="BF192" s="164"/>
      <c r="BG192" s="164"/>
      <c r="BH192" s="164"/>
      <c r="BI192" s="164"/>
    </row>
    <row r="193" ht="15.75" customHeight="1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  <c r="AD193" s="164"/>
      <c r="AE193" s="164"/>
      <c r="AF193" s="164"/>
      <c r="AG193" s="164"/>
      <c r="AH193" s="164"/>
      <c r="AI193" s="164"/>
      <c r="AJ193" s="164"/>
      <c r="AK193" s="164"/>
      <c r="AL193" s="164"/>
      <c r="AM193" s="164"/>
      <c r="AN193" s="164"/>
      <c r="AO193" s="164"/>
      <c r="AP193" s="164"/>
      <c r="AQ193" s="164"/>
      <c r="AR193" s="164"/>
      <c r="AS193" s="164"/>
      <c r="AT193" s="164"/>
      <c r="AU193" s="164"/>
      <c r="AV193" s="164"/>
      <c r="AW193" s="164"/>
      <c r="AX193" s="164"/>
      <c r="AY193" s="164"/>
      <c r="AZ193" s="164"/>
      <c r="BA193" s="164"/>
      <c r="BB193" s="164"/>
      <c r="BC193" s="164"/>
      <c r="BD193" s="164"/>
      <c r="BE193" s="164"/>
      <c r="BF193" s="164"/>
      <c r="BG193" s="164"/>
      <c r="BH193" s="164"/>
      <c r="BI193" s="164"/>
    </row>
    <row r="194" ht="15.75" customHeight="1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  <c r="AD194" s="164"/>
      <c r="AE194" s="164"/>
      <c r="AF194" s="164"/>
      <c r="AG194" s="164"/>
      <c r="AH194" s="164"/>
      <c r="AI194" s="164"/>
      <c r="AJ194" s="164"/>
      <c r="AK194" s="164"/>
      <c r="AL194" s="164"/>
      <c r="AM194" s="164"/>
      <c r="AN194" s="164"/>
      <c r="AO194" s="164"/>
      <c r="AP194" s="164"/>
      <c r="AQ194" s="164"/>
      <c r="AR194" s="164"/>
      <c r="AS194" s="164"/>
      <c r="AT194" s="164"/>
      <c r="AU194" s="164"/>
      <c r="AV194" s="164"/>
      <c r="AW194" s="164"/>
      <c r="AX194" s="164"/>
      <c r="AY194" s="164"/>
      <c r="AZ194" s="164"/>
      <c r="BA194" s="164"/>
      <c r="BB194" s="164"/>
      <c r="BC194" s="164"/>
      <c r="BD194" s="164"/>
      <c r="BE194" s="164"/>
      <c r="BF194" s="164"/>
      <c r="BG194" s="164"/>
      <c r="BH194" s="164"/>
      <c r="BI194" s="164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  <c r="AD195" s="164"/>
      <c r="AE195" s="164"/>
      <c r="AF195" s="164"/>
      <c r="AG195" s="164"/>
      <c r="AH195" s="164"/>
      <c r="AI195" s="164"/>
      <c r="AJ195" s="164"/>
      <c r="AK195" s="164"/>
      <c r="AL195" s="164"/>
      <c r="AM195" s="164"/>
      <c r="AN195" s="164"/>
      <c r="AO195" s="164"/>
      <c r="AP195" s="164"/>
      <c r="AQ195" s="164"/>
      <c r="AR195" s="164"/>
      <c r="AS195" s="164"/>
      <c r="AT195" s="164"/>
      <c r="AU195" s="164"/>
      <c r="AV195" s="164"/>
      <c r="AW195" s="164"/>
      <c r="AX195" s="164"/>
      <c r="AY195" s="164"/>
      <c r="AZ195" s="164"/>
      <c r="BA195" s="164"/>
      <c r="BB195" s="164"/>
      <c r="BC195" s="164"/>
      <c r="BD195" s="164"/>
      <c r="BE195" s="164"/>
      <c r="BF195" s="164"/>
      <c r="BG195" s="164"/>
      <c r="BH195" s="164"/>
      <c r="BI195" s="164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  <c r="AD196" s="164"/>
      <c r="AE196" s="164"/>
      <c r="AF196" s="164"/>
      <c r="AG196" s="164"/>
      <c r="AH196" s="164"/>
      <c r="AI196" s="164"/>
      <c r="AJ196" s="164"/>
      <c r="AK196" s="164"/>
      <c r="AL196" s="164"/>
      <c r="AM196" s="164"/>
      <c r="AN196" s="164"/>
      <c r="AO196" s="164"/>
      <c r="AP196" s="164"/>
      <c r="AQ196" s="164"/>
      <c r="AR196" s="164"/>
      <c r="AS196" s="164"/>
      <c r="AT196" s="164"/>
      <c r="AU196" s="164"/>
      <c r="AV196" s="164"/>
      <c r="AW196" s="164"/>
      <c r="AX196" s="164"/>
      <c r="AY196" s="164"/>
      <c r="AZ196" s="164"/>
      <c r="BA196" s="164"/>
      <c r="BB196" s="164"/>
      <c r="BC196" s="164"/>
      <c r="BD196" s="164"/>
      <c r="BE196" s="164"/>
      <c r="BF196" s="164"/>
      <c r="BG196" s="164"/>
      <c r="BH196" s="164"/>
      <c r="BI196" s="164"/>
    </row>
    <row r="197" ht="15.75" customHeight="1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  <c r="AD197" s="164"/>
      <c r="AE197" s="164"/>
      <c r="AF197" s="164"/>
      <c r="AG197" s="164"/>
      <c r="AH197" s="164"/>
      <c r="AI197" s="164"/>
      <c r="AJ197" s="164"/>
      <c r="AK197" s="164"/>
      <c r="AL197" s="164"/>
      <c r="AM197" s="164"/>
      <c r="AN197" s="164"/>
      <c r="AO197" s="164"/>
      <c r="AP197" s="164"/>
      <c r="AQ197" s="164"/>
      <c r="AR197" s="164"/>
      <c r="AS197" s="164"/>
      <c r="AT197" s="164"/>
      <c r="AU197" s="164"/>
      <c r="AV197" s="164"/>
      <c r="AW197" s="164"/>
      <c r="AX197" s="164"/>
      <c r="AY197" s="164"/>
      <c r="AZ197" s="164"/>
      <c r="BA197" s="164"/>
      <c r="BB197" s="164"/>
      <c r="BC197" s="164"/>
      <c r="BD197" s="164"/>
      <c r="BE197" s="164"/>
      <c r="BF197" s="164"/>
      <c r="BG197" s="164"/>
      <c r="BH197" s="164"/>
      <c r="BI197" s="164"/>
    </row>
    <row r="198" ht="15.75" customHeight="1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  <c r="AD198" s="164"/>
      <c r="AE198" s="164"/>
      <c r="AF198" s="164"/>
      <c r="AG198" s="164"/>
      <c r="AH198" s="164"/>
      <c r="AI198" s="164"/>
      <c r="AJ198" s="164"/>
      <c r="AK198" s="164"/>
      <c r="AL198" s="164"/>
      <c r="AM198" s="164"/>
      <c r="AN198" s="164"/>
      <c r="AO198" s="164"/>
      <c r="AP198" s="164"/>
      <c r="AQ198" s="164"/>
      <c r="AR198" s="164"/>
      <c r="AS198" s="164"/>
      <c r="AT198" s="164"/>
      <c r="AU198" s="164"/>
      <c r="AV198" s="164"/>
      <c r="AW198" s="164"/>
      <c r="AX198" s="164"/>
      <c r="AY198" s="164"/>
      <c r="AZ198" s="164"/>
      <c r="BA198" s="164"/>
      <c r="BB198" s="164"/>
      <c r="BC198" s="164"/>
      <c r="BD198" s="164"/>
      <c r="BE198" s="164"/>
      <c r="BF198" s="164"/>
      <c r="BG198" s="164"/>
      <c r="BH198" s="164"/>
      <c r="BI198" s="164"/>
    </row>
    <row r="199" ht="15.75" customHeight="1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  <c r="AD199" s="164"/>
      <c r="AE199" s="164"/>
      <c r="AF199" s="164"/>
      <c r="AG199" s="164"/>
      <c r="AH199" s="164"/>
      <c r="AI199" s="164"/>
      <c r="AJ199" s="164"/>
      <c r="AK199" s="164"/>
      <c r="AL199" s="164"/>
      <c r="AM199" s="164"/>
      <c r="AN199" s="164"/>
      <c r="AO199" s="164"/>
      <c r="AP199" s="164"/>
      <c r="AQ199" s="164"/>
      <c r="AR199" s="164"/>
      <c r="AS199" s="164"/>
      <c r="AT199" s="164"/>
      <c r="AU199" s="164"/>
      <c r="AV199" s="164"/>
      <c r="AW199" s="164"/>
      <c r="AX199" s="164"/>
      <c r="AY199" s="164"/>
      <c r="AZ199" s="164"/>
      <c r="BA199" s="164"/>
      <c r="BB199" s="164"/>
      <c r="BC199" s="164"/>
      <c r="BD199" s="164"/>
      <c r="BE199" s="164"/>
      <c r="BF199" s="164"/>
      <c r="BG199" s="164"/>
      <c r="BH199" s="164"/>
      <c r="BI199" s="164"/>
    </row>
    <row r="200" ht="15.75" customHeight="1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  <c r="AO200" s="164"/>
      <c r="AP200" s="164"/>
      <c r="AQ200" s="164"/>
      <c r="AR200" s="164"/>
      <c r="AS200" s="164"/>
      <c r="AT200" s="164"/>
      <c r="AU200" s="164"/>
      <c r="AV200" s="164"/>
      <c r="AW200" s="164"/>
      <c r="AX200" s="164"/>
      <c r="AY200" s="164"/>
      <c r="AZ200" s="164"/>
      <c r="BA200" s="164"/>
      <c r="BB200" s="164"/>
      <c r="BC200" s="164"/>
      <c r="BD200" s="164"/>
      <c r="BE200" s="164"/>
      <c r="BF200" s="164"/>
      <c r="BG200" s="164"/>
      <c r="BH200" s="164"/>
      <c r="BI200" s="164"/>
    </row>
    <row r="201" ht="15.75" customHeight="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  <c r="AO201" s="164"/>
      <c r="AP201" s="164"/>
      <c r="AQ201" s="164"/>
      <c r="AR201" s="164"/>
      <c r="AS201" s="164"/>
      <c r="AT201" s="164"/>
      <c r="AU201" s="164"/>
      <c r="AV201" s="164"/>
      <c r="AW201" s="164"/>
      <c r="AX201" s="164"/>
      <c r="AY201" s="164"/>
      <c r="AZ201" s="164"/>
      <c r="BA201" s="164"/>
      <c r="BB201" s="164"/>
      <c r="BC201" s="164"/>
      <c r="BD201" s="164"/>
      <c r="BE201" s="164"/>
      <c r="BF201" s="164"/>
      <c r="BG201" s="164"/>
      <c r="BH201" s="164"/>
      <c r="BI201" s="164"/>
    </row>
    <row r="202" ht="15.75" customHeight="1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  <c r="AE202" s="164"/>
      <c r="AF202" s="164"/>
      <c r="AG202" s="164"/>
      <c r="AH202" s="164"/>
      <c r="AI202" s="164"/>
      <c r="AJ202" s="164"/>
      <c r="AK202" s="164"/>
      <c r="AL202" s="164"/>
      <c r="AM202" s="164"/>
      <c r="AN202" s="164"/>
      <c r="AO202" s="164"/>
      <c r="AP202" s="164"/>
      <c r="AQ202" s="164"/>
      <c r="AR202" s="164"/>
      <c r="AS202" s="164"/>
      <c r="AT202" s="164"/>
      <c r="AU202" s="164"/>
      <c r="AV202" s="164"/>
      <c r="AW202" s="164"/>
      <c r="AX202" s="164"/>
      <c r="AY202" s="164"/>
      <c r="AZ202" s="164"/>
      <c r="BA202" s="164"/>
      <c r="BB202" s="164"/>
      <c r="BC202" s="164"/>
      <c r="BD202" s="164"/>
      <c r="BE202" s="164"/>
      <c r="BF202" s="164"/>
      <c r="BG202" s="164"/>
      <c r="BH202" s="164"/>
      <c r="BI202" s="164"/>
    </row>
    <row r="203" ht="15.75" customHeight="1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  <c r="AE203" s="164"/>
      <c r="AF203" s="164"/>
      <c r="AG203" s="164"/>
      <c r="AH203" s="164"/>
      <c r="AI203" s="164"/>
      <c r="AJ203" s="164"/>
      <c r="AK203" s="164"/>
      <c r="AL203" s="164"/>
      <c r="AM203" s="164"/>
      <c r="AN203" s="164"/>
      <c r="AO203" s="164"/>
      <c r="AP203" s="164"/>
      <c r="AQ203" s="164"/>
      <c r="AR203" s="164"/>
      <c r="AS203" s="164"/>
      <c r="AT203" s="164"/>
      <c r="AU203" s="164"/>
      <c r="AV203" s="164"/>
      <c r="AW203" s="164"/>
      <c r="AX203" s="164"/>
      <c r="AY203" s="164"/>
      <c r="AZ203" s="164"/>
      <c r="BA203" s="164"/>
      <c r="BB203" s="164"/>
      <c r="BC203" s="164"/>
      <c r="BD203" s="164"/>
      <c r="BE203" s="164"/>
      <c r="BF203" s="164"/>
      <c r="BG203" s="164"/>
      <c r="BH203" s="164"/>
      <c r="BI203" s="164"/>
    </row>
    <row r="204" ht="15.75" customHeight="1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  <c r="AD204" s="164"/>
      <c r="AE204" s="164"/>
      <c r="AF204" s="164"/>
      <c r="AG204" s="164"/>
      <c r="AH204" s="164"/>
      <c r="AI204" s="164"/>
      <c r="AJ204" s="164"/>
      <c r="AK204" s="164"/>
      <c r="AL204" s="164"/>
      <c r="AM204" s="164"/>
      <c r="AN204" s="164"/>
      <c r="AO204" s="164"/>
      <c r="AP204" s="164"/>
      <c r="AQ204" s="164"/>
      <c r="AR204" s="164"/>
      <c r="AS204" s="164"/>
      <c r="AT204" s="164"/>
      <c r="AU204" s="164"/>
      <c r="AV204" s="164"/>
      <c r="AW204" s="164"/>
      <c r="AX204" s="164"/>
      <c r="AY204" s="164"/>
      <c r="AZ204" s="164"/>
      <c r="BA204" s="164"/>
      <c r="BB204" s="164"/>
      <c r="BC204" s="164"/>
      <c r="BD204" s="164"/>
      <c r="BE204" s="164"/>
      <c r="BF204" s="164"/>
      <c r="BG204" s="164"/>
      <c r="BH204" s="164"/>
      <c r="BI204" s="164"/>
    </row>
    <row r="205" ht="15.75" customHeight="1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  <c r="AG205" s="164"/>
      <c r="AH205" s="164"/>
      <c r="AI205" s="164"/>
      <c r="AJ205" s="164"/>
      <c r="AK205" s="164"/>
      <c r="AL205" s="164"/>
      <c r="AM205" s="164"/>
      <c r="AN205" s="164"/>
      <c r="AO205" s="164"/>
      <c r="AP205" s="164"/>
      <c r="AQ205" s="164"/>
      <c r="AR205" s="164"/>
      <c r="AS205" s="164"/>
      <c r="AT205" s="164"/>
      <c r="AU205" s="164"/>
      <c r="AV205" s="164"/>
      <c r="AW205" s="164"/>
      <c r="AX205" s="164"/>
      <c r="AY205" s="164"/>
      <c r="AZ205" s="164"/>
      <c r="BA205" s="164"/>
      <c r="BB205" s="164"/>
      <c r="BC205" s="164"/>
      <c r="BD205" s="164"/>
      <c r="BE205" s="164"/>
      <c r="BF205" s="164"/>
      <c r="BG205" s="164"/>
      <c r="BH205" s="164"/>
      <c r="BI205" s="164"/>
    </row>
    <row r="206" ht="15.75" customHeight="1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  <c r="AD206" s="164"/>
      <c r="AE206" s="164"/>
      <c r="AF206" s="164"/>
      <c r="AG206" s="164"/>
      <c r="AH206" s="164"/>
      <c r="AI206" s="164"/>
      <c r="AJ206" s="164"/>
      <c r="AK206" s="164"/>
      <c r="AL206" s="164"/>
      <c r="AM206" s="164"/>
      <c r="AN206" s="164"/>
      <c r="AO206" s="164"/>
      <c r="AP206" s="164"/>
      <c r="AQ206" s="164"/>
      <c r="AR206" s="164"/>
      <c r="AS206" s="164"/>
      <c r="AT206" s="164"/>
      <c r="AU206" s="164"/>
      <c r="AV206" s="164"/>
      <c r="AW206" s="164"/>
      <c r="AX206" s="164"/>
      <c r="AY206" s="164"/>
      <c r="AZ206" s="164"/>
      <c r="BA206" s="164"/>
      <c r="BB206" s="164"/>
      <c r="BC206" s="164"/>
      <c r="BD206" s="164"/>
      <c r="BE206" s="164"/>
      <c r="BF206" s="164"/>
      <c r="BG206" s="164"/>
      <c r="BH206" s="164"/>
      <c r="BI206" s="164"/>
    </row>
    <row r="207" ht="15.75" customHeight="1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  <c r="AD207" s="164"/>
      <c r="AE207" s="164"/>
      <c r="AF207" s="164"/>
      <c r="AG207" s="164"/>
      <c r="AH207" s="164"/>
      <c r="AI207" s="164"/>
      <c r="AJ207" s="164"/>
      <c r="AK207" s="164"/>
      <c r="AL207" s="164"/>
      <c r="AM207" s="164"/>
      <c r="AN207" s="164"/>
      <c r="AO207" s="164"/>
      <c r="AP207" s="164"/>
      <c r="AQ207" s="164"/>
      <c r="AR207" s="164"/>
      <c r="AS207" s="164"/>
      <c r="AT207" s="164"/>
      <c r="AU207" s="164"/>
      <c r="AV207" s="164"/>
      <c r="AW207" s="164"/>
      <c r="AX207" s="164"/>
      <c r="AY207" s="164"/>
      <c r="AZ207" s="164"/>
      <c r="BA207" s="164"/>
      <c r="BB207" s="164"/>
      <c r="BC207" s="164"/>
      <c r="BD207" s="164"/>
      <c r="BE207" s="164"/>
      <c r="BF207" s="164"/>
      <c r="BG207" s="164"/>
      <c r="BH207" s="164"/>
      <c r="BI207" s="164"/>
    </row>
    <row r="208" ht="15.75" customHeight="1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  <c r="AD208" s="164"/>
      <c r="AE208" s="164"/>
      <c r="AF208" s="164"/>
      <c r="AG208" s="164"/>
      <c r="AH208" s="164"/>
      <c r="AI208" s="164"/>
      <c r="AJ208" s="164"/>
      <c r="AK208" s="164"/>
      <c r="AL208" s="164"/>
      <c r="AM208" s="164"/>
      <c r="AN208" s="164"/>
      <c r="AO208" s="164"/>
      <c r="AP208" s="164"/>
      <c r="AQ208" s="164"/>
      <c r="AR208" s="164"/>
      <c r="AS208" s="164"/>
      <c r="AT208" s="164"/>
      <c r="AU208" s="164"/>
      <c r="AV208" s="164"/>
      <c r="AW208" s="164"/>
      <c r="AX208" s="164"/>
      <c r="AY208" s="164"/>
      <c r="AZ208" s="164"/>
      <c r="BA208" s="164"/>
      <c r="BB208" s="164"/>
      <c r="BC208" s="164"/>
      <c r="BD208" s="164"/>
      <c r="BE208" s="164"/>
      <c r="BF208" s="164"/>
      <c r="BG208" s="164"/>
      <c r="BH208" s="164"/>
      <c r="BI208" s="164"/>
    </row>
    <row r="209" ht="15.75" customHeight="1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  <c r="AK209" s="164"/>
      <c r="AL209" s="164"/>
      <c r="AM209" s="164"/>
      <c r="AN209" s="164"/>
      <c r="AO209" s="164"/>
      <c r="AP209" s="164"/>
      <c r="AQ209" s="164"/>
      <c r="AR209" s="164"/>
      <c r="AS209" s="164"/>
      <c r="AT209" s="164"/>
      <c r="AU209" s="164"/>
      <c r="AV209" s="164"/>
      <c r="AW209" s="164"/>
      <c r="AX209" s="164"/>
      <c r="AY209" s="164"/>
      <c r="AZ209" s="164"/>
      <c r="BA209" s="164"/>
      <c r="BB209" s="164"/>
      <c r="BC209" s="164"/>
      <c r="BD209" s="164"/>
      <c r="BE209" s="164"/>
      <c r="BF209" s="164"/>
      <c r="BG209" s="164"/>
      <c r="BH209" s="164"/>
      <c r="BI209" s="164"/>
    </row>
    <row r="210" ht="15.75" customHeight="1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  <c r="AE210" s="164"/>
      <c r="AF210" s="164"/>
      <c r="AG210" s="164"/>
      <c r="AH210" s="164"/>
      <c r="AI210" s="164"/>
      <c r="AJ210" s="164"/>
      <c r="AK210" s="164"/>
      <c r="AL210" s="164"/>
      <c r="AM210" s="164"/>
      <c r="AN210" s="164"/>
      <c r="AO210" s="164"/>
      <c r="AP210" s="164"/>
      <c r="AQ210" s="164"/>
      <c r="AR210" s="164"/>
      <c r="AS210" s="164"/>
      <c r="AT210" s="164"/>
      <c r="AU210" s="164"/>
      <c r="AV210" s="164"/>
      <c r="AW210" s="164"/>
      <c r="AX210" s="164"/>
      <c r="AY210" s="164"/>
      <c r="AZ210" s="164"/>
      <c r="BA210" s="164"/>
      <c r="BB210" s="164"/>
      <c r="BC210" s="164"/>
      <c r="BD210" s="164"/>
      <c r="BE210" s="164"/>
      <c r="BF210" s="164"/>
      <c r="BG210" s="164"/>
      <c r="BH210" s="164"/>
      <c r="BI210" s="164"/>
    </row>
    <row r="211" ht="15.75" customHeight="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  <c r="AD211" s="164"/>
      <c r="AE211" s="164"/>
      <c r="AF211" s="164"/>
      <c r="AG211" s="164"/>
      <c r="AH211" s="164"/>
      <c r="AI211" s="164"/>
      <c r="AJ211" s="164"/>
      <c r="AK211" s="164"/>
      <c r="AL211" s="164"/>
      <c r="AM211" s="164"/>
      <c r="AN211" s="164"/>
      <c r="AO211" s="164"/>
      <c r="AP211" s="164"/>
      <c r="AQ211" s="164"/>
      <c r="AR211" s="164"/>
      <c r="AS211" s="164"/>
      <c r="AT211" s="164"/>
      <c r="AU211" s="164"/>
      <c r="AV211" s="164"/>
      <c r="AW211" s="164"/>
      <c r="AX211" s="164"/>
      <c r="AY211" s="164"/>
      <c r="AZ211" s="164"/>
      <c r="BA211" s="164"/>
      <c r="BB211" s="164"/>
      <c r="BC211" s="164"/>
      <c r="BD211" s="164"/>
      <c r="BE211" s="164"/>
      <c r="BF211" s="164"/>
      <c r="BG211" s="164"/>
      <c r="BH211" s="164"/>
      <c r="BI211" s="164"/>
    </row>
    <row r="212" ht="15.75" customHeight="1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  <c r="AD212" s="164"/>
      <c r="AE212" s="164"/>
      <c r="AF212" s="164"/>
      <c r="AG212" s="164"/>
      <c r="AH212" s="164"/>
      <c r="AI212" s="164"/>
      <c r="AJ212" s="164"/>
      <c r="AK212" s="164"/>
      <c r="AL212" s="164"/>
      <c r="AM212" s="164"/>
      <c r="AN212" s="164"/>
      <c r="AO212" s="164"/>
      <c r="AP212" s="164"/>
      <c r="AQ212" s="164"/>
      <c r="AR212" s="164"/>
      <c r="AS212" s="164"/>
      <c r="AT212" s="164"/>
      <c r="AU212" s="164"/>
      <c r="AV212" s="164"/>
      <c r="AW212" s="164"/>
      <c r="AX212" s="164"/>
      <c r="AY212" s="164"/>
      <c r="AZ212" s="164"/>
      <c r="BA212" s="164"/>
      <c r="BB212" s="164"/>
      <c r="BC212" s="164"/>
      <c r="BD212" s="164"/>
      <c r="BE212" s="164"/>
      <c r="BF212" s="164"/>
      <c r="BG212" s="164"/>
      <c r="BH212" s="164"/>
      <c r="BI212" s="164"/>
    </row>
    <row r="213" ht="15.75" customHeight="1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  <c r="AD213" s="164"/>
      <c r="AE213" s="164"/>
      <c r="AF213" s="164"/>
      <c r="AG213" s="164"/>
      <c r="AH213" s="164"/>
      <c r="AI213" s="164"/>
      <c r="AJ213" s="164"/>
      <c r="AK213" s="164"/>
      <c r="AL213" s="164"/>
      <c r="AM213" s="164"/>
      <c r="AN213" s="164"/>
      <c r="AO213" s="164"/>
      <c r="AP213" s="164"/>
      <c r="AQ213" s="164"/>
      <c r="AR213" s="164"/>
      <c r="AS213" s="164"/>
      <c r="AT213" s="164"/>
      <c r="AU213" s="164"/>
      <c r="AV213" s="164"/>
      <c r="AW213" s="164"/>
      <c r="AX213" s="164"/>
      <c r="AY213" s="164"/>
      <c r="AZ213" s="164"/>
      <c r="BA213" s="164"/>
      <c r="BB213" s="164"/>
      <c r="BC213" s="164"/>
      <c r="BD213" s="164"/>
      <c r="BE213" s="164"/>
      <c r="BF213" s="164"/>
      <c r="BG213" s="164"/>
      <c r="BH213" s="164"/>
      <c r="BI213" s="164"/>
    </row>
    <row r="214" ht="15.75" customHeight="1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  <c r="AE214" s="164"/>
      <c r="AF214" s="164"/>
      <c r="AG214" s="164"/>
      <c r="AH214" s="164"/>
      <c r="AI214" s="164"/>
      <c r="AJ214" s="164"/>
      <c r="AK214" s="164"/>
      <c r="AL214" s="164"/>
      <c r="AM214" s="164"/>
      <c r="AN214" s="164"/>
      <c r="AO214" s="164"/>
      <c r="AP214" s="164"/>
      <c r="AQ214" s="164"/>
      <c r="AR214" s="164"/>
      <c r="AS214" s="164"/>
      <c r="AT214" s="164"/>
      <c r="AU214" s="164"/>
      <c r="AV214" s="164"/>
      <c r="AW214" s="164"/>
      <c r="AX214" s="164"/>
      <c r="AY214" s="164"/>
      <c r="AZ214" s="164"/>
      <c r="BA214" s="164"/>
      <c r="BB214" s="164"/>
      <c r="BC214" s="164"/>
      <c r="BD214" s="164"/>
      <c r="BE214" s="164"/>
      <c r="BF214" s="164"/>
      <c r="BG214" s="164"/>
      <c r="BH214" s="164"/>
      <c r="BI214" s="164"/>
    </row>
    <row r="215" ht="15.75" customHeight="1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  <c r="AD215" s="164"/>
      <c r="AE215" s="164"/>
      <c r="AF215" s="164"/>
      <c r="AG215" s="164"/>
      <c r="AH215" s="164"/>
      <c r="AI215" s="164"/>
      <c r="AJ215" s="164"/>
      <c r="AK215" s="164"/>
      <c r="AL215" s="164"/>
      <c r="AM215" s="164"/>
      <c r="AN215" s="164"/>
      <c r="AO215" s="164"/>
      <c r="AP215" s="164"/>
      <c r="AQ215" s="164"/>
      <c r="AR215" s="164"/>
      <c r="AS215" s="164"/>
      <c r="AT215" s="164"/>
      <c r="AU215" s="164"/>
      <c r="AV215" s="164"/>
      <c r="AW215" s="164"/>
      <c r="AX215" s="164"/>
      <c r="AY215" s="164"/>
      <c r="AZ215" s="164"/>
      <c r="BA215" s="164"/>
      <c r="BB215" s="164"/>
      <c r="BC215" s="164"/>
      <c r="BD215" s="164"/>
      <c r="BE215" s="164"/>
      <c r="BF215" s="164"/>
      <c r="BG215" s="164"/>
      <c r="BH215" s="164"/>
      <c r="BI215" s="164"/>
    </row>
    <row r="216" ht="15.75" customHeight="1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  <c r="AD216" s="164"/>
      <c r="AE216" s="164"/>
      <c r="AF216" s="164"/>
      <c r="AG216" s="164"/>
      <c r="AH216" s="164"/>
      <c r="AI216" s="164"/>
      <c r="AJ216" s="164"/>
      <c r="AK216" s="164"/>
      <c r="AL216" s="164"/>
      <c r="AM216" s="164"/>
      <c r="AN216" s="164"/>
      <c r="AO216" s="164"/>
      <c r="AP216" s="164"/>
      <c r="AQ216" s="164"/>
      <c r="AR216" s="164"/>
      <c r="AS216" s="164"/>
      <c r="AT216" s="164"/>
      <c r="AU216" s="164"/>
      <c r="AV216" s="164"/>
      <c r="AW216" s="164"/>
      <c r="AX216" s="164"/>
      <c r="AY216" s="164"/>
      <c r="AZ216" s="164"/>
      <c r="BA216" s="164"/>
      <c r="BB216" s="164"/>
      <c r="BC216" s="164"/>
      <c r="BD216" s="164"/>
      <c r="BE216" s="164"/>
      <c r="BF216" s="164"/>
      <c r="BG216" s="164"/>
      <c r="BH216" s="164"/>
      <c r="BI216" s="164"/>
    </row>
    <row r="217" ht="15.75" customHeight="1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  <c r="AD217" s="164"/>
      <c r="AE217" s="164"/>
      <c r="AF217" s="164"/>
      <c r="AG217" s="164"/>
      <c r="AH217" s="164"/>
      <c r="AI217" s="164"/>
      <c r="AJ217" s="164"/>
      <c r="AK217" s="164"/>
      <c r="AL217" s="164"/>
      <c r="AM217" s="164"/>
      <c r="AN217" s="164"/>
      <c r="AO217" s="164"/>
      <c r="AP217" s="164"/>
      <c r="AQ217" s="164"/>
      <c r="AR217" s="164"/>
      <c r="AS217" s="164"/>
      <c r="AT217" s="164"/>
      <c r="AU217" s="164"/>
      <c r="AV217" s="164"/>
      <c r="AW217" s="164"/>
      <c r="AX217" s="164"/>
      <c r="AY217" s="164"/>
      <c r="AZ217" s="164"/>
      <c r="BA217" s="164"/>
      <c r="BB217" s="164"/>
      <c r="BC217" s="164"/>
      <c r="BD217" s="164"/>
      <c r="BE217" s="164"/>
      <c r="BF217" s="164"/>
      <c r="BG217" s="164"/>
      <c r="BH217" s="164"/>
      <c r="BI217" s="164"/>
    </row>
    <row r="218" ht="15.75" customHeight="1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  <c r="AD218" s="164"/>
      <c r="AE218" s="164"/>
      <c r="AF218" s="164"/>
      <c r="AG218" s="164"/>
      <c r="AH218" s="164"/>
      <c r="AI218" s="164"/>
      <c r="AJ218" s="164"/>
      <c r="AK218" s="164"/>
      <c r="AL218" s="164"/>
      <c r="AM218" s="164"/>
      <c r="AN218" s="164"/>
      <c r="AO218" s="164"/>
      <c r="AP218" s="164"/>
      <c r="AQ218" s="164"/>
      <c r="AR218" s="164"/>
      <c r="AS218" s="164"/>
      <c r="AT218" s="164"/>
      <c r="AU218" s="164"/>
      <c r="AV218" s="164"/>
      <c r="AW218" s="164"/>
      <c r="AX218" s="164"/>
      <c r="AY218" s="164"/>
      <c r="AZ218" s="164"/>
      <c r="BA218" s="164"/>
      <c r="BB218" s="164"/>
      <c r="BC218" s="164"/>
      <c r="BD218" s="164"/>
      <c r="BE218" s="164"/>
      <c r="BF218" s="164"/>
      <c r="BG218" s="164"/>
      <c r="BH218" s="164"/>
      <c r="BI218" s="164"/>
    </row>
    <row r="219" ht="15.75" customHeight="1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  <c r="AD219" s="164"/>
      <c r="AE219" s="164"/>
      <c r="AF219" s="164"/>
      <c r="AG219" s="164"/>
      <c r="AH219" s="164"/>
      <c r="AI219" s="164"/>
      <c r="AJ219" s="164"/>
      <c r="AK219" s="164"/>
      <c r="AL219" s="164"/>
      <c r="AM219" s="164"/>
      <c r="AN219" s="164"/>
      <c r="AO219" s="164"/>
      <c r="AP219" s="164"/>
      <c r="AQ219" s="164"/>
      <c r="AR219" s="164"/>
      <c r="AS219" s="164"/>
      <c r="AT219" s="164"/>
      <c r="AU219" s="164"/>
      <c r="AV219" s="164"/>
      <c r="AW219" s="164"/>
      <c r="AX219" s="164"/>
      <c r="AY219" s="164"/>
      <c r="AZ219" s="164"/>
      <c r="BA219" s="164"/>
      <c r="BB219" s="164"/>
      <c r="BC219" s="164"/>
      <c r="BD219" s="164"/>
      <c r="BE219" s="164"/>
      <c r="BF219" s="164"/>
      <c r="BG219" s="164"/>
      <c r="BH219" s="164"/>
      <c r="BI219" s="164"/>
    </row>
    <row r="220" ht="15.75" customHeight="1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  <c r="AD220" s="164"/>
      <c r="AE220" s="164"/>
      <c r="AF220" s="164"/>
      <c r="AG220" s="164"/>
      <c r="AH220" s="164"/>
      <c r="AI220" s="164"/>
      <c r="AJ220" s="164"/>
      <c r="AK220" s="164"/>
      <c r="AL220" s="164"/>
      <c r="AM220" s="164"/>
      <c r="AN220" s="164"/>
      <c r="AO220" s="164"/>
      <c r="AP220" s="164"/>
      <c r="AQ220" s="164"/>
      <c r="AR220" s="164"/>
      <c r="AS220" s="164"/>
      <c r="AT220" s="164"/>
      <c r="AU220" s="164"/>
      <c r="AV220" s="164"/>
      <c r="AW220" s="164"/>
      <c r="AX220" s="164"/>
      <c r="AY220" s="164"/>
      <c r="AZ220" s="164"/>
      <c r="BA220" s="164"/>
      <c r="BB220" s="164"/>
      <c r="BC220" s="164"/>
      <c r="BD220" s="164"/>
      <c r="BE220" s="164"/>
      <c r="BF220" s="164"/>
      <c r="BG220" s="164"/>
      <c r="BH220" s="164"/>
      <c r="BI220" s="164"/>
    </row>
    <row r="221" ht="15.75" customHeight="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  <c r="AD221" s="164"/>
      <c r="AE221" s="164"/>
      <c r="AF221" s="164"/>
      <c r="AG221" s="164"/>
      <c r="AH221" s="164"/>
      <c r="AI221" s="164"/>
      <c r="AJ221" s="164"/>
      <c r="AK221" s="164"/>
      <c r="AL221" s="164"/>
      <c r="AM221" s="164"/>
      <c r="AN221" s="164"/>
      <c r="AO221" s="164"/>
      <c r="AP221" s="164"/>
      <c r="AQ221" s="164"/>
      <c r="AR221" s="164"/>
      <c r="AS221" s="164"/>
      <c r="AT221" s="164"/>
      <c r="AU221" s="164"/>
      <c r="AV221" s="164"/>
      <c r="AW221" s="164"/>
      <c r="AX221" s="164"/>
      <c r="AY221" s="164"/>
      <c r="AZ221" s="164"/>
      <c r="BA221" s="164"/>
      <c r="BB221" s="164"/>
      <c r="BC221" s="164"/>
      <c r="BD221" s="164"/>
      <c r="BE221" s="164"/>
      <c r="BF221" s="164"/>
      <c r="BG221" s="164"/>
      <c r="BH221" s="164"/>
      <c r="BI221" s="164"/>
    </row>
    <row r="222" ht="15.75" customHeight="1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  <c r="AE222" s="164"/>
      <c r="AF222" s="164"/>
      <c r="AG222" s="164"/>
      <c r="AH222" s="164"/>
      <c r="AI222" s="164"/>
      <c r="AJ222" s="164"/>
      <c r="AK222" s="164"/>
      <c r="AL222" s="164"/>
      <c r="AM222" s="164"/>
      <c r="AN222" s="164"/>
      <c r="AO222" s="164"/>
      <c r="AP222" s="164"/>
      <c r="AQ222" s="164"/>
      <c r="AR222" s="164"/>
      <c r="AS222" s="164"/>
      <c r="AT222" s="164"/>
      <c r="AU222" s="164"/>
      <c r="AV222" s="164"/>
      <c r="AW222" s="164"/>
      <c r="AX222" s="164"/>
      <c r="AY222" s="164"/>
      <c r="AZ222" s="164"/>
      <c r="BA222" s="164"/>
      <c r="BB222" s="164"/>
      <c r="BC222" s="164"/>
      <c r="BD222" s="164"/>
      <c r="BE222" s="164"/>
      <c r="BF222" s="164"/>
      <c r="BG222" s="164"/>
      <c r="BH222" s="164"/>
      <c r="BI222" s="164"/>
    </row>
    <row r="223" ht="15.75" customHeight="1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  <c r="AE223" s="164"/>
      <c r="AF223" s="164"/>
      <c r="AG223" s="164"/>
      <c r="AH223" s="164"/>
      <c r="AI223" s="164"/>
      <c r="AJ223" s="164"/>
      <c r="AK223" s="164"/>
      <c r="AL223" s="164"/>
      <c r="AM223" s="164"/>
      <c r="AN223" s="164"/>
      <c r="AO223" s="164"/>
      <c r="AP223" s="164"/>
      <c r="AQ223" s="164"/>
      <c r="AR223" s="164"/>
      <c r="AS223" s="164"/>
      <c r="AT223" s="164"/>
      <c r="AU223" s="164"/>
      <c r="AV223" s="164"/>
      <c r="AW223" s="164"/>
      <c r="AX223" s="164"/>
      <c r="AY223" s="164"/>
      <c r="AZ223" s="164"/>
      <c r="BA223" s="164"/>
      <c r="BB223" s="164"/>
      <c r="BC223" s="164"/>
      <c r="BD223" s="164"/>
      <c r="BE223" s="164"/>
      <c r="BF223" s="164"/>
      <c r="BG223" s="164"/>
      <c r="BH223" s="164"/>
      <c r="BI223" s="164"/>
    </row>
    <row r="224" ht="15.75" customHeight="1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  <c r="AE224" s="164"/>
      <c r="AF224" s="164"/>
      <c r="AG224" s="164"/>
      <c r="AH224" s="164"/>
      <c r="AI224" s="164"/>
      <c r="AJ224" s="164"/>
      <c r="AK224" s="164"/>
      <c r="AL224" s="164"/>
      <c r="AM224" s="164"/>
      <c r="AN224" s="164"/>
      <c r="AO224" s="164"/>
      <c r="AP224" s="164"/>
      <c r="AQ224" s="164"/>
      <c r="AR224" s="164"/>
      <c r="AS224" s="164"/>
      <c r="AT224" s="164"/>
      <c r="AU224" s="164"/>
      <c r="AV224" s="164"/>
      <c r="AW224" s="164"/>
      <c r="AX224" s="164"/>
      <c r="AY224" s="164"/>
      <c r="AZ224" s="164"/>
      <c r="BA224" s="164"/>
      <c r="BB224" s="164"/>
      <c r="BC224" s="164"/>
      <c r="BD224" s="164"/>
      <c r="BE224" s="164"/>
      <c r="BF224" s="164"/>
      <c r="BG224" s="164"/>
      <c r="BH224" s="164"/>
      <c r="BI224" s="164"/>
    </row>
    <row r="225" ht="15.75" customHeight="1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  <c r="AD225" s="164"/>
      <c r="AE225" s="164"/>
      <c r="AF225" s="164"/>
      <c r="AG225" s="164"/>
      <c r="AH225" s="164"/>
      <c r="AI225" s="164"/>
      <c r="AJ225" s="164"/>
      <c r="AK225" s="164"/>
      <c r="AL225" s="164"/>
      <c r="AM225" s="164"/>
      <c r="AN225" s="164"/>
      <c r="AO225" s="164"/>
      <c r="AP225" s="164"/>
      <c r="AQ225" s="164"/>
      <c r="AR225" s="164"/>
      <c r="AS225" s="164"/>
      <c r="AT225" s="164"/>
      <c r="AU225" s="164"/>
      <c r="AV225" s="164"/>
      <c r="AW225" s="164"/>
      <c r="AX225" s="164"/>
      <c r="AY225" s="164"/>
      <c r="AZ225" s="164"/>
      <c r="BA225" s="164"/>
      <c r="BB225" s="164"/>
      <c r="BC225" s="164"/>
      <c r="BD225" s="164"/>
      <c r="BE225" s="164"/>
      <c r="BF225" s="164"/>
      <c r="BG225" s="164"/>
      <c r="BH225" s="164"/>
      <c r="BI225" s="164"/>
    </row>
    <row r="226" ht="15.75" customHeight="1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  <c r="AD226" s="164"/>
      <c r="AE226" s="164"/>
      <c r="AF226" s="164"/>
      <c r="AG226" s="164"/>
      <c r="AH226" s="164"/>
      <c r="AI226" s="164"/>
      <c r="AJ226" s="164"/>
      <c r="AK226" s="164"/>
      <c r="AL226" s="164"/>
      <c r="AM226" s="164"/>
      <c r="AN226" s="164"/>
      <c r="AO226" s="164"/>
      <c r="AP226" s="164"/>
      <c r="AQ226" s="164"/>
      <c r="AR226" s="164"/>
      <c r="AS226" s="164"/>
      <c r="AT226" s="164"/>
      <c r="AU226" s="164"/>
      <c r="AV226" s="164"/>
      <c r="AW226" s="164"/>
      <c r="AX226" s="164"/>
      <c r="AY226" s="164"/>
      <c r="AZ226" s="164"/>
      <c r="BA226" s="164"/>
      <c r="BB226" s="164"/>
      <c r="BC226" s="164"/>
      <c r="BD226" s="164"/>
      <c r="BE226" s="164"/>
      <c r="BF226" s="164"/>
      <c r="BG226" s="164"/>
      <c r="BH226" s="164"/>
      <c r="BI226" s="164"/>
    </row>
    <row r="227" ht="15.75" customHeight="1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  <c r="AD227" s="164"/>
      <c r="AE227" s="164"/>
      <c r="AF227" s="164"/>
      <c r="AG227" s="164"/>
      <c r="AH227" s="164"/>
      <c r="AI227" s="164"/>
      <c r="AJ227" s="164"/>
      <c r="AK227" s="164"/>
      <c r="AL227" s="164"/>
      <c r="AM227" s="164"/>
      <c r="AN227" s="164"/>
      <c r="AO227" s="164"/>
      <c r="AP227" s="164"/>
      <c r="AQ227" s="164"/>
      <c r="AR227" s="164"/>
      <c r="AS227" s="164"/>
      <c r="AT227" s="164"/>
      <c r="AU227" s="164"/>
      <c r="AV227" s="164"/>
      <c r="AW227" s="164"/>
      <c r="AX227" s="164"/>
      <c r="AY227" s="164"/>
      <c r="AZ227" s="164"/>
      <c r="BA227" s="164"/>
      <c r="BB227" s="164"/>
      <c r="BC227" s="164"/>
      <c r="BD227" s="164"/>
      <c r="BE227" s="164"/>
      <c r="BF227" s="164"/>
      <c r="BG227" s="164"/>
      <c r="BH227" s="164"/>
      <c r="BI227" s="164"/>
    </row>
    <row r="228" ht="15.75" customHeight="1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  <c r="AE228" s="164"/>
      <c r="AF228" s="164"/>
      <c r="AG228" s="164"/>
      <c r="AH228" s="164"/>
      <c r="AI228" s="164"/>
      <c r="AJ228" s="164"/>
      <c r="AK228" s="164"/>
      <c r="AL228" s="164"/>
      <c r="AM228" s="164"/>
      <c r="AN228" s="164"/>
      <c r="AO228" s="164"/>
      <c r="AP228" s="164"/>
      <c r="AQ228" s="164"/>
      <c r="AR228" s="164"/>
      <c r="AS228" s="164"/>
      <c r="AT228" s="164"/>
      <c r="AU228" s="164"/>
      <c r="AV228" s="164"/>
      <c r="AW228" s="164"/>
      <c r="AX228" s="164"/>
      <c r="AY228" s="164"/>
      <c r="AZ228" s="164"/>
      <c r="BA228" s="164"/>
      <c r="BB228" s="164"/>
      <c r="BC228" s="164"/>
      <c r="BD228" s="164"/>
      <c r="BE228" s="164"/>
      <c r="BF228" s="164"/>
      <c r="BG228" s="164"/>
      <c r="BH228" s="164"/>
      <c r="BI228" s="164"/>
    </row>
    <row r="229" ht="15.75" customHeight="1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  <c r="AE229" s="164"/>
      <c r="AF229" s="164"/>
      <c r="AG229" s="164"/>
      <c r="AH229" s="164"/>
      <c r="AI229" s="164"/>
      <c r="AJ229" s="164"/>
      <c r="AK229" s="164"/>
      <c r="AL229" s="164"/>
      <c r="AM229" s="164"/>
      <c r="AN229" s="164"/>
      <c r="AO229" s="164"/>
      <c r="AP229" s="164"/>
      <c r="AQ229" s="164"/>
      <c r="AR229" s="164"/>
      <c r="AS229" s="164"/>
      <c r="AT229" s="164"/>
      <c r="AU229" s="164"/>
      <c r="AV229" s="164"/>
      <c r="AW229" s="164"/>
      <c r="AX229" s="164"/>
      <c r="AY229" s="164"/>
      <c r="AZ229" s="164"/>
      <c r="BA229" s="164"/>
      <c r="BB229" s="164"/>
      <c r="BC229" s="164"/>
      <c r="BD229" s="164"/>
      <c r="BE229" s="164"/>
      <c r="BF229" s="164"/>
      <c r="BG229" s="164"/>
      <c r="BH229" s="164"/>
      <c r="BI229" s="164"/>
    </row>
    <row r="230" ht="15.75" customHeight="1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  <c r="AD230" s="164"/>
      <c r="AE230" s="164"/>
      <c r="AF230" s="164"/>
      <c r="AG230" s="164"/>
      <c r="AH230" s="164"/>
      <c r="AI230" s="164"/>
      <c r="AJ230" s="164"/>
      <c r="AK230" s="164"/>
      <c r="AL230" s="164"/>
      <c r="AM230" s="164"/>
      <c r="AN230" s="164"/>
      <c r="AO230" s="164"/>
      <c r="AP230" s="164"/>
      <c r="AQ230" s="164"/>
      <c r="AR230" s="164"/>
      <c r="AS230" s="164"/>
      <c r="AT230" s="164"/>
      <c r="AU230" s="164"/>
      <c r="AV230" s="164"/>
      <c r="AW230" s="164"/>
      <c r="AX230" s="164"/>
      <c r="AY230" s="164"/>
      <c r="AZ230" s="164"/>
      <c r="BA230" s="164"/>
      <c r="BB230" s="164"/>
      <c r="BC230" s="164"/>
      <c r="BD230" s="164"/>
      <c r="BE230" s="164"/>
      <c r="BF230" s="164"/>
      <c r="BG230" s="164"/>
      <c r="BH230" s="164"/>
      <c r="BI230" s="164"/>
    </row>
    <row r="231" ht="15.75" customHeight="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  <c r="AD231" s="164"/>
      <c r="AE231" s="164"/>
      <c r="AF231" s="164"/>
      <c r="AG231" s="164"/>
      <c r="AH231" s="164"/>
      <c r="AI231" s="164"/>
      <c r="AJ231" s="164"/>
      <c r="AK231" s="164"/>
      <c r="AL231" s="164"/>
      <c r="AM231" s="164"/>
      <c r="AN231" s="164"/>
      <c r="AO231" s="164"/>
      <c r="AP231" s="164"/>
      <c r="AQ231" s="164"/>
      <c r="AR231" s="164"/>
      <c r="AS231" s="164"/>
      <c r="AT231" s="164"/>
      <c r="AU231" s="164"/>
      <c r="AV231" s="164"/>
      <c r="AW231" s="164"/>
      <c r="AX231" s="164"/>
      <c r="AY231" s="164"/>
      <c r="AZ231" s="164"/>
      <c r="BA231" s="164"/>
      <c r="BB231" s="164"/>
      <c r="BC231" s="164"/>
      <c r="BD231" s="164"/>
      <c r="BE231" s="164"/>
      <c r="BF231" s="164"/>
      <c r="BG231" s="164"/>
      <c r="BH231" s="164"/>
      <c r="BI231" s="164"/>
    </row>
    <row r="232" ht="15.75" customHeight="1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  <c r="AD232" s="164"/>
      <c r="AE232" s="164"/>
      <c r="AF232" s="164"/>
      <c r="AG232" s="164"/>
      <c r="AH232" s="164"/>
      <c r="AI232" s="164"/>
      <c r="AJ232" s="164"/>
      <c r="AK232" s="164"/>
      <c r="AL232" s="164"/>
      <c r="AM232" s="164"/>
      <c r="AN232" s="164"/>
      <c r="AO232" s="164"/>
      <c r="AP232" s="164"/>
      <c r="AQ232" s="164"/>
      <c r="AR232" s="164"/>
      <c r="AS232" s="164"/>
      <c r="AT232" s="164"/>
      <c r="AU232" s="164"/>
      <c r="AV232" s="164"/>
      <c r="AW232" s="164"/>
      <c r="AX232" s="164"/>
      <c r="AY232" s="164"/>
      <c r="AZ232" s="164"/>
      <c r="BA232" s="164"/>
      <c r="BB232" s="164"/>
      <c r="BC232" s="164"/>
      <c r="BD232" s="164"/>
      <c r="BE232" s="164"/>
      <c r="BF232" s="164"/>
      <c r="BG232" s="164"/>
      <c r="BH232" s="164"/>
      <c r="BI232" s="164"/>
    </row>
    <row r="233" ht="15.75" customHeight="1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  <c r="AD233" s="164"/>
      <c r="AE233" s="164"/>
      <c r="AF233" s="164"/>
      <c r="AG233" s="164"/>
      <c r="AH233" s="164"/>
      <c r="AI233" s="164"/>
      <c r="AJ233" s="164"/>
      <c r="AK233" s="164"/>
      <c r="AL233" s="164"/>
      <c r="AM233" s="164"/>
      <c r="AN233" s="164"/>
      <c r="AO233" s="164"/>
      <c r="AP233" s="164"/>
      <c r="AQ233" s="164"/>
      <c r="AR233" s="164"/>
      <c r="AS233" s="164"/>
      <c r="AT233" s="164"/>
      <c r="AU233" s="164"/>
      <c r="AV233" s="164"/>
      <c r="AW233" s="164"/>
      <c r="AX233" s="164"/>
      <c r="AY233" s="164"/>
      <c r="AZ233" s="164"/>
      <c r="BA233" s="164"/>
      <c r="BB233" s="164"/>
      <c r="BC233" s="164"/>
      <c r="BD233" s="164"/>
      <c r="BE233" s="164"/>
      <c r="BF233" s="164"/>
      <c r="BG233" s="164"/>
      <c r="BH233" s="164"/>
      <c r="BI233" s="164"/>
    </row>
    <row r="234" ht="15.75" customHeight="1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  <c r="AD234" s="164"/>
      <c r="AE234" s="164"/>
      <c r="AF234" s="164"/>
      <c r="AG234" s="164"/>
      <c r="AH234" s="164"/>
      <c r="AI234" s="164"/>
      <c r="AJ234" s="164"/>
      <c r="AK234" s="164"/>
      <c r="AL234" s="164"/>
      <c r="AM234" s="164"/>
      <c r="AN234" s="164"/>
      <c r="AO234" s="164"/>
      <c r="AP234" s="164"/>
      <c r="AQ234" s="164"/>
      <c r="AR234" s="164"/>
      <c r="AS234" s="164"/>
      <c r="AT234" s="164"/>
      <c r="AU234" s="164"/>
      <c r="AV234" s="164"/>
      <c r="AW234" s="164"/>
      <c r="AX234" s="164"/>
      <c r="AY234" s="164"/>
      <c r="AZ234" s="164"/>
      <c r="BA234" s="164"/>
      <c r="BB234" s="164"/>
      <c r="BC234" s="164"/>
      <c r="BD234" s="164"/>
      <c r="BE234" s="164"/>
      <c r="BF234" s="164"/>
      <c r="BG234" s="164"/>
      <c r="BH234" s="164"/>
      <c r="BI234" s="164"/>
    </row>
    <row r="235" ht="15.75" customHeight="1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  <c r="AD235" s="164"/>
      <c r="AE235" s="164"/>
      <c r="AF235" s="164"/>
      <c r="AG235" s="164"/>
      <c r="AH235" s="164"/>
      <c r="AI235" s="164"/>
      <c r="AJ235" s="164"/>
      <c r="AK235" s="164"/>
      <c r="AL235" s="164"/>
      <c r="AM235" s="164"/>
      <c r="AN235" s="164"/>
      <c r="AO235" s="164"/>
      <c r="AP235" s="164"/>
      <c r="AQ235" s="164"/>
      <c r="AR235" s="164"/>
      <c r="AS235" s="164"/>
      <c r="AT235" s="164"/>
      <c r="AU235" s="164"/>
      <c r="AV235" s="164"/>
      <c r="AW235" s="164"/>
      <c r="AX235" s="164"/>
      <c r="AY235" s="164"/>
      <c r="AZ235" s="164"/>
      <c r="BA235" s="164"/>
      <c r="BB235" s="164"/>
      <c r="BC235" s="164"/>
      <c r="BD235" s="164"/>
      <c r="BE235" s="164"/>
      <c r="BF235" s="164"/>
      <c r="BG235" s="164"/>
      <c r="BH235" s="164"/>
      <c r="BI235" s="164"/>
    </row>
    <row r="236" ht="15.75" customHeight="1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  <c r="AD236" s="164"/>
      <c r="AE236" s="164"/>
      <c r="AF236" s="164"/>
      <c r="AG236" s="164"/>
      <c r="AH236" s="164"/>
      <c r="AI236" s="164"/>
      <c r="AJ236" s="164"/>
      <c r="AK236" s="164"/>
      <c r="AL236" s="164"/>
      <c r="AM236" s="164"/>
      <c r="AN236" s="164"/>
      <c r="AO236" s="164"/>
      <c r="AP236" s="164"/>
      <c r="AQ236" s="164"/>
      <c r="AR236" s="164"/>
      <c r="AS236" s="164"/>
      <c r="AT236" s="164"/>
      <c r="AU236" s="164"/>
      <c r="AV236" s="164"/>
      <c r="AW236" s="164"/>
      <c r="AX236" s="164"/>
      <c r="AY236" s="164"/>
      <c r="AZ236" s="164"/>
      <c r="BA236" s="164"/>
      <c r="BB236" s="164"/>
      <c r="BC236" s="164"/>
      <c r="BD236" s="164"/>
      <c r="BE236" s="164"/>
      <c r="BF236" s="164"/>
      <c r="BG236" s="164"/>
      <c r="BH236" s="164"/>
      <c r="BI236" s="164"/>
    </row>
    <row r="237" ht="15.75" customHeight="1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  <c r="AD237" s="164"/>
      <c r="AE237" s="164"/>
      <c r="AF237" s="164"/>
      <c r="AG237" s="164"/>
      <c r="AH237" s="164"/>
      <c r="AI237" s="164"/>
      <c r="AJ237" s="164"/>
      <c r="AK237" s="164"/>
      <c r="AL237" s="164"/>
      <c r="AM237" s="164"/>
      <c r="AN237" s="164"/>
      <c r="AO237" s="164"/>
      <c r="AP237" s="164"/>
      <c r="AQ237" s="164"/>
      <c r="AR237" s="164"/>
      <c r="AS237" s="164"/>
      <c r="AT237" s="164"/>
      <c r="AU237" s="164"/>
      <c r="AV237" s="164"/>
      <c r="AW237" s="164"/>
      <c r="AX237" s="164"/>
      <c r="AY237" s="164"/>
      <c r="AZ237" s="164"/>
      <c r="BA237" s="164"/>
      <c r="BB237" s="164"/>
      <c r="BC237" s="164"/>
      <c r="BD237" s="164"/>
      <c r="BE237" s="164"/>
      <c r="BF237" s="164"/>
      <c r="BG237" s="164"/>
      <c r="BH237" s="164"/>
      <c r="BI237" s="164"/>
    </row>
    <row r="238" ht="15.75" customHeight="1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  <c r="AD238" s="164"/>
      <c r="AE238" s="164"/>
      <c r="AF238" s="164"/>
      <c r="AG238" s="164"/>
      <c r="AH238" s="164"/>
      <c r="AI238" s="164"/>
      <c r="AJ238" s="164"/>
      <c r="AK238" s="164"/>
      <c r="AL238" s="164"/>
      <c r="AM238" s="164"/>
      <c r="AN238" s="164"/>
      <c r="AO238" s="164"/>
      <c r="AP238" s="164"/>
      <c r="AQ238" s="164"/>
      <c r="AR238" s="164"/>
      <c r="AS238" s="164"/>
      <c r="AT238" s="164"/>
      <c r="AU238" s="164"/>
      <c r="AV238" s="164"/>
      <c r="AW238" s="164"/>
      <c r="AX238" s="164"/>
      <c r="AY238" s="164"/>
      <c r="AZ238" s="164"/>
      <c r="BA238" s="164"/>
      <c r="BB238" s="164"/>
      <c r="BC238" s="164"/>
      <c r="BD238" s="164"/>
      <c r="BE238" s="164"/>
      <c r="BF238" s="164"/>
      <c r="BG238" s="164"/>
      <c r="BH238" s="164"/>
      <c r="BI238" s="164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E2:H2"/>
    <mergeCell ref="I2:K2"/>
    <mergeCell ref="L2:M2"/>
    <mergeCell ref="N2:Q2"/>
    <mergeCell ref="C1:G1"/>
    <mergeCell ref="H1:K1"/>
    <mergeCell ref="L1:M1"/>
    <mergeCell ref="Z1:AC2"/>
    <mergeCell ref="AX1:BA2"/>
    <mergeCell ref="C2:D2"/>
    <mergeCell ref="R2:S2"/>
    <mergeCell ref="N1:S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2.63"/>
    <col customWidth="1" min="2" max="2" width="17.75"/>
    <col customWidth="1" min="3" max="16" width="8.13"/>
    <col customWidth="1" min="17" max="17" width="8.25"/>
    <col customWidth="1" min="18" max="18" width="8.75"/>
    <col customWidth="1" min="19" max="19" width="8.13"/>
    <col customWidth="1" min="20" max="26" width="8.88"/>
    <col customWidth="1" min="27" max="27" width="9.75"/>
    <col customWidth="1" min="28" max="28" width="10.75"/>
    <col customWidth="1" min="29" max="29" width="9.75"/>
    <col customWidth="1" min="30" max="32" width="8.13"/>
    <col customWidth="1" min="33" max="33" width="14.63"/>
    <col customWidth="1" hidden="1" min="34" max="49" width="8.13"/>
    <col customWidth="1" min="50" max="61" width="8.13"/>
  </cols>
  <sheetData>
    <row r="1" ht="29.25" customHeight="1">
      <c r="A1" s="51" t="s">
        <v>125</v>
      </c>
      <c r="B1" s="52"/>
      <c r="C1" s="53" t="s">
        <v>126</v>
      </c>
      <c r="D1" s="54"/>
      <c r="E1" s="54"/>
      <c r="F1" s="54"/>
      <c r="G1" s="55"/>
      <c r="H1" s="53" t="s">
        <v>127</v>
      </c>
      <c r="I1" s="54"/>
      <c r="J1" s="54"/>
      <c r="K1" s="55"/>
      <c r="L1" s="53" t="s">
        <v>128</v>
      </c>
      <c r="M1" s="55"/>
      <c r="N1" s="53" t="s">
        <v>129</v>
      </c>
      <c r="O1" s="54"/>
      <c r="P1" s="54"/>
      <c r="Q1" s="54"/>
      <c r="R1" s="54"/>
      <c r="S1" s="55"/>
      <c r="T1" s="56"/>
      <c r="U1" s="56"/>
      <c r="V1" s="56"/>
      <c r="W1" s="56"/>
      <c r="X1" s="56"/>
      <c r="Y1" s="56"/>
      <c r="Z1" s="57" t="s">
        <v>130</v>
      </c>
      <c r="AA1" s="58"/>
      <c r="AB1" s="58"/>
      <c r="AC1" s="59"/>
      <c r="AD1" s="60"/>
      <c r="AE1" s="60"/>
      <c r="AF1" s="61" t="s">
        <v>125</v>
      </c>
      <c r="AG1" s="62"/>
      <c r="AH1" s="63" t="s">
        <v>126</v>
      </c>
      <c r="AI1" s="63"/>
      <c r="AJ1" s="63"/>
      <c r="AK1" s="63"/>
      <c r="AL1" s="64"/>
      <c r="AM1" s="63" t="s">
        <v>127</v>
      </c>
      <c r="AN1" s="64"/>
      <c r="AO1" s="63" t="s">
        <v>128</v>
      </c>
      <c r="AP1" s="64"/>
      <c r="AQ1" s="63" t="s">
        <v>129</v>
      </c>
      <c r="AR1" s="63"/>
      <c r="AS1" s="63"/>
      <c r="AT1" s="63"/>
      <c r="AU1" s="63"/>
      <c r="AV1" s="63"/>
      <c r="AW1" s="63"/>
      <c r="AX1" s="65" t="s">
        <v>130</v>
      </c>
      <c r="AY1" s="58"/>
      <c r="AZ1" s="58"/>
      <c r="BA1" s="59"/>
      <c r="BB1" s="60"/>
      <c r="BC1" s="60"/>
      <c r="BD1" s="60"/>
      <c r="BE1" s="60"/>
      <c r="BF1" s="60"/>
      <c r="BG1" s="60"/>
      <c r="BH1" s="60"/>
      <c r="BI1" s="60"/>
    </row>
    <row r="2" ht="60.0" customHeight="1">
      <c r="A2" s="66"/>
      <c r="B2" s="52"/>
      <c r="C2" s="67" t="s">
        <v>131</v>
      </c>
      <c r="D2" s="55"/>
      <c r="E2" s="67" t="s">
        <v>132</v>
      </c>
      <c r="F2" s="54"/>
      <c r="G2" s="54"/>
      <c r="H2" s="55"/>
      <c r="I2" s="67" t="s">
        <v>133</v>
      </c>
      <c r="J2" s="54"/>
      <c r="K2" s="55"/>
      <c r="L2" s="67" t="s">
        <v>134</v>
      </c>
      <c r="M2" s="55"/>
      <c r="N2" s="67" t="s">
        <v>131</v>
      </c>
      <c r="O2" s="54"/>
      <c r="P2" s="54"/>
      <c r="Q2" s="55"/>
      <c r="R2" s="67" t="s">
        <v>132</v>
      </c>
      <c r="S2" s="55"/>
      <c r="T2" s="56"/>
      <c r="U2" s="56"/>
      <c r="V2" s="56"/>
      <c r="W2" s="56"/>
      <c r="X2" s="56"/>
      <c r="Y2" s="56"/>
      <c r="Z2" s="68"/>
      <c r="AA2" s="69"/>
      <c r="AB2" s="69"/>
      <c r="AC2" s="70"/>
      <c r="AD2" s="60"/>
      <c r="AE2" s="60"/>
      <c r="AF2" s="71"/>
      <c r="AG2" s="62"/>
      <c r="AH2" s="72" t="s">
        <v>135</v>
      </c>
      <c r="AI2" s="72"/>
      <c r="AJ2" s="73"/>
      <c r="AK2" s="72" t="s">
        <v>136</v>
      </c>
      <c r="AL2" s="73"/>
      <c r="AM2" s="72" t="s">
        <v>136</v>
      </c>
      <c r="AN2" s="73"/>
      <c r="AO2" s="72" t="s">
        <v>135</v>
      </c>
      <c r="AP2" s="73"/>
      <c r="AQ2" s="72" t="s">
        <v>135</v>
      </c>
      <c r="AR2" s="72"/>
      <c r="AS2" s="73"/>
      <c r="AT2" s="74"/>
      <c r="AU2" s="75" t="s">
        <v>136</v>
      </c>
      <c r="AV2" s="75"/>
      <c r="AW2" s="76"/>
      <c r="AX2" s="68"/>
      <c r="AY2" s="69"/>
      <c r="AZ2" s="69"/>
      <c r="BA2" s="70"/>
      <c r="BB2" s="60"/>
      <c r="BC2" s="60"/>
      <c r="BD2" s="60"/>
      <c r="BE2" s="60"/>
      <c r="BF2" s="60"/>
      <c r="BG2" s="60"/>
      <c r="BH2" s="60"/>
      <c r="BI2" s="60"/>
    </row>
    <row r="3" ht="129.75" customHeight="1">
      <c r="A3" s="66"/>
      <c r="B3" s="167" t="s">
        <v>35</v>
      </c>
      <c r="C3" s="78" t="s">
        <v>137</v>
      </c>
      <c r="D3" s="78" t="s">
        <v>138</v>
      </c>
      <c r="E3" s="78" t="s">
        <v>137</v>
      </c>
      <c r="F3" s="212" t="s">
        <v>139</v>
      </c>
      <c r="G3" s="79" t="s">
        <v>140</v>
      </c>
      <c r="H3" s="79" t="s">
        <v>141</v>
      </c>
      <c r="I3" s="79" t="s">
        <v>142</v>
      </c>
      <c r="J3" s="79" t="s">
        <v>143</v>
      </c>
      <c r="K3" s="79" t="s">
        <v>144</v>
      </c>
      <c r="L3" s="80" t="s">
        <v>145</v>
      </c>
      <c r="M3" s="81" t="s">
        <v>249</v>
      </c>
      <c r="N3" s="80" t="s">
        <v>147</v>
      </c>
      <c r="O3" s="80" t="s">
        <v>148</v>
      </c>
      <c r="P3" s="80" t="s">
        <v>149</v>
      </c>
      <c r="Q3" s="80" t="s">
        <v>150</v>
      </c>
      <c r="R3" s="80" t="s">
        <v>148</v>
      </c>
      <c r="S3" s="80" t="s">
        <v>150</v>
      </c>
      <c r="T3" s="82" t="s">
        <v>151</v>
      </c>
      <c r="U3" s="82" t="s">
        <v>152</v>
      </c>
      <c r="V3" s="82" t="s">
        <v>153</v>
      </c>
      <c r="W3" s="82" t="s">
        <v>154</v>
      </c>
      <c r="X3" s="83" t="s">
        <v>155</v>
      </c>
      <c r="Y3" s="83" t="s">
        <v>156</v>
      </c>
      <c r="Z3" s="233" t="s">
        <v>157</v>
      </c>
      <c r="AA3" s="233" t="s">
        <v>158</v>
      </c>
      <c r="AB3" s="233" t="s">
        <v>159</v>
      </c>
      <c r="AC3" s="233" t="s">
        <v>160</v>
      </c>
      <c r="AD3" s="85"/>
      <c r="AE3" s="85"/>
      <c r="AF3" s="71"/>
      <c r="AG3" s="86" t="s">
        <v>35</v>
      </c>
      <c r="AH3" s="87" t="s">
        <v>161</v>
      </c>
      <c r="AI3" s="87" t="s">
        <v>162</v>
      </c>
      <c r="AJ3" s="88" t="s">
        <v>163</v>
      </c>
      <c r="AK3" s="89" t="s">
        <v>164</v>
      </c>
      <c r="AL3" s="90" t="s">
        <v>165</v>
      </c>
      <c r="AM3" s="90" t="s">
        <v>141</v>
      </c>
      <c r="AN3" s="90" t="s">
        <v>166</v>
      </c>
      <c r="AO3" s="91" t="s">
        <v>145</v>
      </c>
      <c r="AP3" s="91" t="s">
        <v>167</v>
      </c>
      <c r="AQ3" s="90" t="s">
        <v>168</v>
      </c>
      <c r="AR3" s="90" t="s">
        <v>148</v>
      </c>
      <c r="AS3" s="90" t="s">
        <v>169</v>
      </c>
      <c r="AT3" s="90" t="s">
        <v>150</v>
      </c>
      <c r="AU3" s="90" t="s">
        <v>170</v>
      </c>
      <c r="AV3" s="90" t="s">
        <v>171</v>
      </c>
      <c r="AW3" s="92" t="s">
        <v>172</v>
      </c>
      <c r="AX3" s="93" t="s">
        <v>157</v>
      </c>
      <c r="AY3" s="93" t="s">
        <v>158</v>
      </c>
      <c r="AZ3" s="93" t="s">
        <v>159</v>
      </c>
      <c r="BA3" s="93" t="s">
        <v>160</v>
      </c>
      <c r="BB3" s="85"/>
      <c r="BC3" s="85"/>
      <c r="BD3" s="85"/>
      <c r="BE3" s="85"/>
      <c r="BF3" s="85"/>
      <c r="BG3" s="85"/>
      <c r="BH3" s="85"/>
      <c r="BI3" s="85"/>
    </row>
    <row r="4" ht="153.0" customHeight="1">
      <c r="A4" s="94"/>
      <c r="B4" s="170" t="s">
        <v>1</v>
      </c>
      <c r="C4" s="96" t="s">
        <v>250</v>
      </c>
      <c r="D4" s="96" t="s">
        <v>251</v>
      </c>
      <c r="E4" s="96" t="s">
        <v>252</v>
      </c>
      <c r="F4" s="213" t="s">
        <v>253</v>
      </c>
      <c r="G4" s="97" t="s">
        <v>254</v>
      </c>
      <c r="H4" s="97" t="s">
        <v>254</v>
      </c>
      <c r="I4" s="97" t="s">
        <v>255</v>
      </c>
      <c r="J4" s="97" t="s">
        <v>255</v>
      </c>
      <c r="K4" s="97" t="s">
        <v>256</v>
      </c>
      <c r="L4" s="96" t="s">
        <v>257</v>
      </c>
      <c r="M4" s="172" t="s">
        <v>258</v>
      </c>
      <c r="N4" s="234" t="s">
        <v>259</v>
      </c>
      <c r="O4" s="234" t="s">
        <v>260</v>
      </c>
      <c r="P4" s="234" t="s">
        <v>261</v>
      </c>
      <c r="Q4" s="234" t="s">
        <v>262</v>
      </c>
      <c r="R4" s="96" t="s">
        <v>263</v>
      </c>
      <c r="S4" s="96" t="s">
        <v>264</v>
      </c>
      <c r="T4" s="100"/>
      <c r="U4" s="100"/>
      <c r="V4" s="100"/>
      <c r="W4" s="100"/>
      <c r="X4" s="100"/>
      <c r="Y4" s="100"/>
      <c r="Z4" s="235"/>
      <c r="AA4" s="235"/>
      <c r="AB4" s="235"/>
      <c r="AC4" s="235"/>
      <c r="AD4" s="103"/>
      <c r="AE4" s="103"/>
      <c r="AF4" s="104"/>
      <c r="AG4" s="105" t="s">
        <v>1</v>
      </c>
      <c r="AH4" s="106" t="s">
        <v>189</v>
      </c>
      <c r="AI4" s="106" t="s">
        <v>189</v>
      </c>
      <c r="AJ4" s="107" t="s">
        <v>190</v>
      </c>
      <c r="AK4" s="107" t="s">
        <v>191</v>
      </c>
      <c r="AL4" s="107" t="s">
        <v>192</v>
      </c>
      <c r="AM4" s="107" t="s">
        <v>193</v>
      </c>
      <c r="AN4" s="107" t="s">
        <v>194</v>
      </c>
      <c r="AO4" s="108" t="s">
        <v>195</v>
      </c>
      <c r="AP4" s="109" t="s">
        <v>196</v>
      </c>
      <c r="AQ4" s="107" t="s">
        <v>197</v>
      </c>
      <c r="AR4" s="107" t="s">
        <v>198</v>
      </c>
      <c r="AS4" s="107" t="s">
        <v>199</v>
      </c>
      <c r="AT4" s="107" t="s">
        <v>189</v>
      </c>
      <c r="AU4" s="107" t="s">
        <v>200</v>
      </c>
      <c r="AV4" s="107" t="s">
        <v>201</v>
      </c>
      <c r="AW4" s="110" t="s">
        <v>202</v>
      </c>
      <c r="AX4" s="111"/>
      <c r="AY4" s="111"/>
      <c r="AZ4" s="111"/>
      <c r="BA4" s="111"/>
      <c r="BB4" s="103"/>
      <c r="BC4" s="103"/>
      <c r="BD4" s="103"/>
      <c r="BE4" s="103"/>
      <c r="BF4" s="103"/>
      <c r="BG4" s="103"/>
      <c r="BH4" s="103"/>
      <c r="BI4" s="103"/>
    </row>
    <row r="5" ht="15.75" customHeight="1">
      <c r="A5" s="112"/>
      <c r="B5" s="42" t="s">
        <v>41</v>
      </c>
      <c r="C5" s="218">
        <v>360.0</v>
      </c>
      <c r="D5" s="218"/>
      <c r="E5" s="218" t="s">
        <v>229</v>
      </c>
      <c r="F5" s="236" t="s">
        <v>229</v>
      </c>
      <c r="G5" s="218"/>
      <c r="H5" s="237"/>
      <c r="I5" s="238">
        <v>21.0</v>
      </c>
      <c r="J5" s="238">
        <v>7.0</v>
      </c>
      <c r="K5" s="238">
        <v>0.0</v>
      </c>
      <c r="L5" s="218">
        <v>77594.0</v>
      </c>
      <c r="M5" s="218">
        <v>42345.0</v>
      </c>
      <c r="N5" s="218">
        <v>3023.0</v>
      </c>
      <c r="O5" s="218">
        <v>10781.0</v>
      </c>
      <c r="P5" s="218">
        <v>116553.0</v>
      </c>
      <c r="Q5" s="218">
        <v>2652.0</v>
      </c>
      <c r="R5" s="218" t="s">
        <v>229</v>
      </c>
      <c r="S5" s="218" t="s">
        <v>229</v>
      </c>
      <c r="T5" s="114"/>
      <c r="U5" s="114"/>
      <c r="V5" s="114"/>
      <c r="W5" s="114"/>
      <c r="X5" s="114"/>
      <c r="Y5" s="114"/>
      <c r="Z5" s="114">
        <f t="shared" ref="Z5:Z19" si="1">SUM(C5:K5)</f>
        <v>388</v>
      </c>
      <c r="AA5" s="114">
        <f t="shared" ref="AA5:AA19" si="2">((L5+M5)-(SUM(N5:S5)))</f>
        <v>-13070</v>
      </c>
      <c r="AB5" s="239">
        <f t="shared" ref="AB5:AB6" si="3">Z5/AA5</f>
        <v>-0.02968630451</v>
      </c>
      <c r="AC5" s="240">
        <f t="shared" ref="AC5:AC6" si="4">100%-AB5</f>
        <v>1.029686305</v>
      </c>
      <c r="AD5" s="116"/>
      <c r="AE5" s="116"/>
      <c r="AF5" s="117"/>
      <c r="AG5" s="118"/>
      <c r="AH5" s="119"/>
      <c r="AI5" s="119"/>
      <c r="AJ5" s="119"/>
      <c r="AK5" s="120"/>
      <c r="AL5" s="119"/>
      <c r="AM5" s="119"/>
      <c r="AN5" s="119"/>
      <c r="AO5" s="121"/>
      <c r="AP5" s="122"/>
      <c r="AQ5" s="119"/>
      <c r="AR5" s="119"/>
      <c r="AS5" s="119"/>
      <c r="AT5" s="119"/>
      <c r="AU5" s="119"/>
      <c r="AV5" s="119"/>
      <c r="AW5" s="120"/>
      <c r="AX5" s="120"/>
      <c r="AY5" s="120"/>
      <c r="AZ5" s="123"/>
      <c r="BA5" s="123"/>
      <c r="BB5" s="116"/>
      <c r="BC5" s="116"/>
      <c r="BD5" s="116"/>
      <c r="BE5" s="116"/>
      <c r="BF5" s="116"/>
      <c r="BG5" s="116"/>
      <c r="BH5" s="116"/>
      <c r="BI5" s="116"/>
    </row>
    <row r="6" ht="15.75" customHeight="1">
      <c r="A6" s="112"/>
      <c r="B6" s="38" t="s">
        <v>43</v>
      </c>
      <c r="C6" s="218">
        <v>23.0</v>
      </c>
      <c r="D6" s="218">
        <v>1510.0</v>
      </c>
      <c r="E6" s="218">
        <v>0.0</v>
      </c>
      <c r="F6" s="236"/>
      <c r="G6" s="241">
        <v>809.0</v>
      </c>
      <c r="H6" s="218">
        <v>1011.0</v>
      </c>
      <c r="I6" s="238">
        <v>140.0</v>
      </c>
      <c r="J6" s="238">
        <v>39.0</v>
      </c>
      <c r="K6" s="238">
        <v>10.0</v>
      </c>
      <c r="L6" s="218">
        <v>33014.0</v>
      </c>
      <c r="M6" s="218">
        <v>15183.0</v>
      </c>
      <c r="N6" s="218">
        <v>47.0</v>
      </c>
      <c r="O6" s="218">
        <v>1354.0</v>
      </c>
      <c r="P6" s="218">
        <v>1121.0</v>
      </c>
      <c r="Q6" s="218">
        <v>110.0</v>
      </c>
      <c r="R6" s="218">
        <v>0.0</v>
      </c>
      <c r="S6" s="218">
        <v>0.0</v>
      </c>
      <c r="T6" s="130">
        <f t="shared" ref="T6:T37" si="5">C6+D6+E6+F6+G6</f>
        <v>2342</v>
      </c>
      <c r="U6" s="130">
        <f t="shared" ref="U6:U37" si="6">H6+I6+J6+K6</f>
        <v>1200</v>
      </c>
      <c r="V6" s="130">
        <f t="shared" ref="V6:V37" si="7">L6+M6</f>
        <v>48197</v>
      </c>
      <c r="W6" s="130">
        <f t="shared" ref="W6:W37" si="8">N6+O6+P6+Q6+R6+S6</f>
        <v>2632</v>
      </c>
      <c r="X6" s="116">
        <f t="shared" ref="X6:X38" si="9">(T6+U6)/(V6-W6)</f>
        <v>0.0777351037</v>
      </c>
      <c r="Y6" s="116">
        <f t="shared" ref="Y6:Y38" si="10">1-X6</f>
        <v>0.9222648963</v>
      </c>
      <c r="Z6" s="114">
        <f t="shared" si="1"/>
        <v>3542</v>
      </c>
      <c r="AA6" s="114">
        <f t="shared" si="2"/>
        <v>45565</v>
      </c>
      <c r="AB6" s="239">
        <f t="shared" si="3"/>
        <v>0.0777351037</v>
      </c>
      <c r="AC6" s="239">
        <f t="shared" si="4"/>
        <v>0.9222648963</v>
      </c>
      <c r="AD6" s="116"/>
      <c r="AE6" s="116"/>
      <c r="AF6" s="117"/>
      <c r="AG6" s="118" t="s">
        <v>43</v>
      </c>
      <c r="AH6" s="119">
        <v>6.0</v>
      </c>
      <c r="AI6" s="119">
        <v>11.0</v>
      </c>
      <c r="AJ6" s="119">
        <v>469.0</v>
      </c>
      <c r="AK6" s="120">
        <v>0.0</v>
      </c>
      <c r="AL6" s="119">
        <v>70.0</v>
      </c>
      <c r="AM6" s="119">
        <v>262.0</v>
      </c>
      <c r="AN6" s="119">
        <v>4.0</v>
      </c>
      <c r="AO6" s="121">
        <v>40597.0</v>
      </c>
      <c r="AP6" s="131">
        <v>23591.0</v>
      </c>
      <c r="AQ6" s="119">
        <v>28.0</v>
      </c>
      <c r="AR6" s="119">
        <v>880.0</v>
      </c>
      <c r="AS6" s="119">
        <v>903.0</v>
      </c>
      <c r="AT6" s="119">
        <v>55.0</v>
      </c>
      <c r="AU6" s="119">
        <v>18.0</v>
      </c>
      <c r="AV6" s="119">
        <v>55.0</v>
      </c>
      <c r="AW6" s="120">
        <v>11.0</v>
      </c>
      <c r="AX6" s="120">
        <v>3819.0</v>
      </c>
      <c r="AY6" s="120">
        <v>77352.0</v>
      </c>
      <c r="AZ6" s="123">
        <v>0.04937170338194229</v>
      </c>
      <c r="BA6" s="123">
        <v>0.9506282966180577</v>
      </c>
      <c r="BB6" s="116"/>
      <c r="BC6" s="116"/>
      <c r="BD6" s="116"/>
      <c r="BE6" s="116"/>
      <c r="BF6" s="116"/>
      <c r="BG6" s="116"/>
      <c r="BH6" s="116"/>
      <c r="BI6" s="116"/>
    </row>
    <row r="7" ht="15.75" customHeight="1">
      <c r="A7" s="242"/>
      <c r="B7" s="243" t="s">
        <v>45</v>
      </c>
      <c r="C7" s="244">
        <v>21588.0</v>
      </c>
      <c r="D7" s="244">
        <v>9426.0</v>
      </c>
      <c r="E7" s="244">
        <v>1.0</v>
      </c>
      <c r="F7" s="244"/>
      <c r="G7" s="245">
        <v>35.0</v>
      </c>
      <c r="H7" s="244">
        <v>242.0</v>
      </c>
      <c r="I7" s="244">
        <v>56.0</v>
      </c>
      <c r="J7" s="244">
        <v>26.0</v>
      </c>
      <c r="K7" s="244">
        <v>0.0</v>
      </c>
      <c r="L7" s="244">
        <v>90654.0</v>
      </c>
      <c r="M7" s="244">
        <v>66924.0</v>
      </c>
      <c r="N7" s="244">
        <v>10305.0</v>
      </c>
      <c r="O7" s="244">
        <v>1468.0</v>
      </c>
      <c r="P7" s="244">
        <v>142489.0</v>
      </c>
      <c r="Q7" s="244">
        <v>813.0</v>
      </c>
      <c r="R7" s="244">
        <v>5.0</v>
      </c>
      <c r="S7" s="244">
        <v>20.0</v>
      </c>
      <c r="T7" s="246">
        <f t="shared" si="5"/>
        <v>31050</v>
      </c>
      <c r="U7" s="246">
        <f t="shared" si="6"/>
        <v>324</v>
      </c>
      <c r="V7" s="246">
        <f t="shared" si="7"/>
        <v>157578</v>
      </c>
      <c r="W7" s="246">
        <f t="shared" si="8"/>
        <v>155100</v>
      </c>
      <c r="X7" s="247">
        <f t="shared" si="9"/>
        <v>12.66101695</v>
      </c>
      <c r="Y7" s="247">
        <f t="shared" si="10"/>
        <v>-11.66101695</v>
      </c>
      <c r="Z7" s="248">
        <f t="shared" si="1"/>
        <v>31374</v>
      </c>
      <c r="AA7" s="248">
        <f t="shared" si="2"/>
        <v>2478</v>
      </c>
      <c r="AB7" s="249"/>
      <c r="AC7" s="249"/>
      <c r="AD7" s="247"/>
      <c r="AE7" s="247"/>
      <c r="AF7" s="250"/>
      <c r="AG7" s="251" t="s">
        <v>45</v>
      </c>
      <c r="AH7" s="252">
        <v>13752.0</v>
      </c>
      <c r="AI7" s="252">
        <v>357.0</v>
      </c>
      <c r="AJ7" s="252">
        <v>3541.0</v>
      </c>
      <c r="AK7" s="253">
        <v>604.0</v>
      </c>
      <c r="AL7" s="252">
        <v>60.0</v>
      </c>
      <c r="AM7" s="252">
        <v>197.0</v>
      </c>
      <c r="AN7" s="252">
        <v>0.0</v>
      </c>
      <c r="AO7" s="254">
        <v>147385.0</v>
      </c>
      <c r="AP7" s="255">
        <v>81827.0</v>
      </c>
      <c r="AQ7" s="252">
        <v>1426.0</v>
      </c>
      <c r="AR7" s="252">
        <v>1057.0</v>
      </c>
      <c r="AS7" s="252">
        <v>20490.0</v>
      </c>
      <c r="AT7" s="252">
        <v>150.0</v>
      </c>
      <c r="AU7" s="252">
        <v>40.0</v>
      </c>
      <c r="AV7" s="252">
        <v>150.0</v>
      </c>
      <c r="AW7" s="253">
        <v>357.0</v>
      </c>
      <c r="AX7" s="253">
        <v>25481.0</v>
      </c>
      <c r="AY7" s="253">
        <v>421823.0</v>
      </c>
      <c r="AZ7" s="256">
        <v>0.0604068531113761</v>
      </c>
      <c r="BA7" s="256">
        <v>0.9395931468886239</v>
      </c>
      <c r="BB7" s="247"/>
      <c r="BC7" s="247"/>
      <c r="BD7" s="247"/>
      <c r="BE7" s="247"/>
      <c r="BF7" s="247"/>
      <c r="BG7" s="247"/>
      <c r="BH7" s="247"/>
      <c r="BI7" s="247"/>
    </row>
    <row r="8" ht="15.75" customHeight="1">
      <c r="A8" s="112"/>
      <c r="B8" s="38" t="s">
        <v>46</v>
      </c>
      <c r="C8" s="218">
        <v>213.0</v>
      </c>
      <c r="D8" s="218">
        <v>2703.0</v>
      </c>
      <c r="E8" s="218">
        <v>1.0</v>
      </c>
      <c r="F8" s="236"/>
      <c r="G8" s="241">
        <v>3.0</v>
      </c>
      <c r="H8" s="218">
        <v>13.0</v>
      </c>
      <c r="I8" s="218">
        <v>26.0</v>
      </c>
      <c r="J8" s="218">
        <v>12.0</v>
      </c>
      <c r="K8" s="218">
        <v>0.0</v>
      </c>
      <c r="L8" s="218">
        <v>18484.0</v>
      </c>
      <c r="M8" s="218">
        <v>18610.0</v>
      </c>
      <c r="N8" s="218">
        <v>271.0</v>
      </c>
      <c r="O8" s="218">
        <v>43.0</v>
      </c>
      <c r="P8" s="218">
        <v>1422.0</v>
      </c>
      <c r="Q8" s="218">
        <v>43.0</v>
      </c>
      <c r="R8" s="218">
        <v>0.0</v>
      </c>
      <c r="S8" s="218">
        <v>0.0</v>
      </c>
      <c r="T8" s="130">
        <f t="shared" si="5"/>
        <v>2920</v>
      </c>
      <c r="U8" s="130">
        <f t="shared" si="6"/>
        <v>51</v>
      </c>
      <c r="V8" s="130">
        <f t="shared" si="7"/>
        <v>37094</v>
      </c>
      <c r="W8" s="130">
        <f t="shared" si="8"/>
        <v>1779</v>
      </c>
      <c r="X8" s="116">
        <f t="shared" si="9"/>
        <v>0.08412855727</v>
      </c>
      <c r="Y8" s="116">
        <f t="shared" si="10"/>
        <v>0.9158714427</v>
      </c>
      <c r="Z8" s="114">
        <f t="shared" si="1"/>
        <v>2971</v>
      </c>
      <c r="AA8" s="114">
        <f t="shared" si="2"/>
        <v>35315</v>
      </c>
      <c r="AB8" s="115">
        <f t="shared" ref="AB8:AB19" si="11">Z8/AA8</f>
        <v>0.08412855727</v>
      </c>
      <c r="AC8" s="115">
        <f t="shared" ref="AC8:AC19" si="12">100%-AB8</f>
        <v>0.9158714427</v>
      </c>
      <c r="AD8" s="116"/>
      <c r="AE8" s="116"/>
      <c r="AF8" s="117"/>
      <c r="AG8" s="118" t="s">
        <v>46</v>
      </c>
      <c r="AH8" s="119">
        <v>973.0</v>
      </c>
      <c r="AI8" s="119">
        <v>0.0</v>
      </c>
      <c r="AJ8" s="119">
        <v>713.0</v>
      </c>
      <c r="AK8" s="120">
        <v>0.0</v>
      </c>
      <c r="AL8" s="119">
        <v>5.0</v>
      </c>
      <c r="AM8" s="119">
        <v>19.0</v>
      </c>
      <c r="AN8" s="119">
        <v>3.0</v>
      </c>
      <c r="AO8" s="121">
        <v>22890.0</v>
      </c>
      <c r="AP8" s="131">
        <v>13043.0</v>
      </c>
      <c r="AQ8" s="119">
        <v>328.0</v>
      </c>
      <c r="AR8" s="119">
        <v>38.0</v>
      </c>
      <c r="AS8" s="119">
        <v>781.0</v>
      </c>
      <c r="AT8" s="119">
        <v>20.0</v>
      </c>
      <c r="AU8" s="119">
        <v>14.0</v>
      </c>
      <c r="AV8" s="119">
        <v>20.0</v>
      </c>
      <c r="AW8" s="120">
        <v>0.0</v>
      </c>
      <c r="AX8" s="120">
        <v>1599.0</v>
      </c>
      <c r="AY8" s="120">
        <v>98309.0</v>
      </c>
      <c r="AZ8" s="123">
        <v>0.016265041857815663</v>
      </c>
      <c r="BA8" s="123">
        <v>0.9837349581421844</v>
      </c>
      <c r="BB8" s="116"/>
      <c r="BC8" s="116"/>
      <c r="BD8" s="116"/>
      <c r="BE8" s="116"/>
      <c r="BF8" s="116"/>
      <c r="BG8" s="116"/>
      <c r="BH8" s="116"/>
      <c r="BI8" s="116"/>
    </row>
    <row r="9" ht="15.75" customHeight="1">
      <c r="A9" s="112"/>
      <c r="B9" s="38" t="s">
        <v>47</v>
      </c>
      <c r="C9" s="218">
        <v>75.0</v>
      </c>
      <c r="D9" s="218">
        <v>809.0</v>
      </c>
      <c r="E9" s="218">
        <v>1.0</v>
      </c>
      <c r="F9" s="236"/>
      <c r="G9" s="241">
        <v>58.0</v>
      </c>
      <c r="H9" s="218">
        <v>15.0</v>
      </c>
      <c r="I9" s="218">
        <v>8.0</v>
      </c>
      <c r="J9" s="218">
        <v>6.0</v>
      </c>
      <c r="K9" s="218">
        <v>0.0</v>
      </c>
      <c r="L9" s="218">
        <v>4886.0</v>
      </c>
      <c r="M9" s="218">
        <v>1297.0</v>
      </c>
      <c r="N9" s="218">
        <v>36.0</v>
      </c>
      <c r="O9" s="218">
        <v>88.0</v>
      </c>
      <c r="P9" s="218">
        <v>95.0</v>
      </c>
      <c r="Q9" s="218">
        <v>0.0</v>
      </c>
      <c r="R9" s="218">
        <v>0.0</v>
      </c>
      <c r="S9" s="218">
        <v>2.0</v>
      </c>
      <c r="T9" s="130">
        <f t="shared" si="5"/>
        <v>943</v>
      </c>
      <c r="U9" s="130">
        <f t="shared" si="6"/>
        <v>29</v>
      </c>
      <c r="V9" s="130">
        <f t="shared" si="7"/>
        <v>6183</v>
      </c>
      <c r="W9" s="130">
        <f t="shared" si="8"/>
        <v>221</v>
      </c>
      <c r="X9" s="116">
        <f t="shared" si="9"/>
        <v>0.1630325394</v>
      </c>
      <c r="Y9" s="116">
        <f t="shared" si="10"/>
        <v>0.8369674606</v>
      </c>
      <c r="Z9" s="114">
        <f t="shared" si="1"/>
        <v>972</v>
      </c>
      <c r="AA9" s="114">
        <f t="shared" si="2"/>
        <v>5962</v>
      </c>
      <c r="AB9" s="115">
        <f t="shared" si="11"/>
        <v>0.1630325394</v>
      </c>
      <c r="AC9" s="115">
        <f t="shared" si="12"/>
        <v>0.8369674606</v>
      </c>
      <c r="AD9" s="116"/>
      <c r="AE9" s="116"/>
      <c r="AF9" s="117"/>
      <c r="AG9" s="118" t="s">
        <v>47</v>
      </c>
      <c r="AH9" s="119">
        <v>17.0</v>
      </c>
      <c r="AI9" s="119">
        <v>2662.0</v>
      </c>
      <c r="AJ9" s="119">
        <v>915.0</v>
      </c>
      <c r="AK9" s="120">
        <v>6.0</v>
      </c>
      <c r="AL9" s="119">
        <v>29.0</v>
      </c>
      <c r="AM9" s="119">
        <v>66.0</v>
      </c>
      <c r="AN9" s="119">
        <v>4.0</v>
      </c>
      <c r="AO9" s="121">
        <v>21962.0</v>
      </c>
      <c r="AP9" s="131">
        <v>21937.0</v>
      </c>
      <c r="AQ9" s="119">
        <v>69.0</v>
      </c>
      <c r="AR9" s="119">
        <v>1064.0</v>
      </c>
      <c r="AS9" s="119">
        <v>33.0</v>
      </c>
      <c r="AT9" s="119">
        <v>44.0</v>
      </c>
      <c r="AU9" s="119">
        <v>0.0</v>
      </c>
      <c r="AV9" s="119">
        <v>44.0</v>
      </c>
      <c r="AW9" s="120">
        <v>2662.0</v>
      </c>
      <c r="AX9" s="120">
        <v>770.0</v>
      </c>
      <c r="AY9" s="120">
        <v>38579.0</v>
      </c>
      <c r="AZ9" s="123">
        <v>0.019959045076336866</v>
      </c>
      <c r="BA9" s="123">
        <v>0.9800409549236632</v>
      </c>
      <c r="BB9" s="116"/>
      <c r="BC9" s="116"/>
      <c r="BD9" s="116"/>
      <c r="BE9" s="116"/>
      <c r="BF9" s="116"/>
      <c r="BG9" s="116"/>
      <c r="BH9" s="116"/>
      <c r="BI9" s="116"/>
    </row>
    <row r="10" ht="15.75" customHeight="1">
      <c r="A10" s="112"/>
      <c r="B10" s="38" t="s">
        <v>48</v>
      </c>
      <c r="C10" s="218">
        <v>0.0</v>
      </c>
      <c r="D10" s="218">
        <v>4039.0</v>
      </c>
      <c r="E10" s="218">
        <v>0.0</v>
      </c>
      <c r="F10" s="236"/>
      <c r="G10" s="241">
        <v>1177.0</v>
      </c>
      <c r="H10" s="218">
        <v>87.0</v>
      </c>
      <c r="I10" s="218">
        <v>7.0</v>
      </c>
      <c r="J10" s="218">
        <v>0.0</v>
      </c>
      <c r="K10" s="218">
        <v>0.0</v>
      </c>
      <c r="L10" s="218">
        <v>55140.0</v>
      </c>
      <c r="M10" s="218">
        <v>36623.0</v>
      </c>
      <c r="N10" s="218">
        <v>65.0</v>
      </c>
      <c r="O10" s="218">
        <v>22.0</v>
      </c>
      <c r="P10" s="218">
        <v>5925.0</v>
      </c>
      <c r="Q10" s="218">
        <v>97.0</v>
      </c>
      <c r="R10" s="218">
        <v>0.0</v>
      </c>
      <c r="S10" s="218">
        <v>85.0</v>
      </c>
      <c r="T10" s="130">
        <f t="shared" si="5"/>
        <v>5216</v>
      </c>
      <c r="U10" s="130">
        <f t="shared" si="6"/>
        <v>94</v>
      </c>
      <c r="V10" s="130">
        <f t="shared" si="7"/>
        <v>91763</v>
      </c>
      <c r="W10" s="130">
        <f t="shared" si="8"/>
        <v>6194</v>
      </c>
      <c r="X10" s="116">
        <f t="shared" si="9"/>
        <v>0.06205518354</v>
      </c>
      <c r="Y10" s="116">
        <f t="shared" si="10"/>
        <v>0.9379448165</v>
      </c>
      <c r="Z10" s="114">
        <f t="shared" si="1"/>
        <v>5310</v>
      </c>
      <c r="AA10" s="114">
        <f t="shared" si="2"/>
        <v>85569</v>
      </c>
      <c r="AB10" s="115">
        <f t="shared" si="11"/>
        <v>0.06205518354</v>
      </c>
      <c r="AC10" s="115">
        <f t="shared" si="12"/>
        <v>0.9379448165</v>
      </c>
      <c r="AD10" s="116"/>
      <c r="AE10" s="116"/>
      <c r="AF10" s="117"/>
      <c r="AG10" s="118" t="s">
        <v>48</v>
      </c>
      <c r="AH10" s="119">
        <v>407.0</v>
      </c>
      <c r="AI10" s="119">
        <v>0.0</v>
      </c>
      <c r="AJ10" s="119">
        <v>4849.0</v>
      </c>
      <c r="AK10" s="120">
        <v>11.0</v>
      </c>
      <c r="AL10" s="119">
        <v>4.0</v>
      </c>
      <c r="AM10" s="119">
        <v>396.0</v>
      </c>
      <c r="AN10" s="119">
        <v>41.0</v>
      </c>
      <c r="AO10" s="121">
        <v>13273.0</v>
      </c>
      <c r="AP10" s="131">
        <v>3013.0</v>
      </c>
      <c r="AQ10" s="119">
        <v>0.0</v>
      </c>
      <c r="AR10" s="119">
        <v>21.0</v>
      </c>
      <c r="AS10" s="119">
        <v>3707.0</v>
      </c>
      <c r="AT10" s="119">
        <v>28.0</v>
      </c>
      <c r="AU10" s="119">
        <v>0.0</v>
      </c>
      <c r="AV10" s="119">
        <v>28.0</v>
      </c>
      <c r="AW10" s="120">
        <v>0.0</v>
      </c>
      <c r="AX10" s="120">
        <v>5333.0</v>
      </c>
      <c r="AY10" s="120">
        <v>238678.0</v>
      </c>
      <c r="AZ10" s="123">
        <v>0.022343911043330344</v>
      </c>
      <c r="BA10" s="123">
        <v>0.9776560889566697</v>
      </c>
      <c r="BB10" s="116"/>
      <c r="BC10" s="116"/>
      <c r="BD10" s="116"/>
      <c r="BE10" s="116"/>
      <c r="BF10" s="116"/>
      <c r="BG10" s="116"/>
      <c r="BH10" s="116"/>
      <c r="BI10" s="116"/>
    </row>
    <row r="11" ht="15.75" customHeight="1">
      <c r="A11" s="179"/>
      <c r="B11" s="38" t="s">
        <v>49</v>
      </c>
      <c r="C11" s="218">
        <v>650.0</v>
      </c>
      <c r="D11" s="218">
        <v>1187.0</v>
      </c>
      <c r="E11" s="218">
        <v>38.0</v>
      </c>
      <c r="F11" s="236"/>
      <c r="G11" s="241"/>
      <c r="H11" s="218"/>
      <c r="I11" s="218"/>
      <c r="J11" s="218"/>
      <c r="K11" s="218"/>
      <c r="L11" s="218">
        <v>28368.0</v>
      </c>
      <c r="M11" s="218">
        <v>15306.0</v>
      </c>
      <c r="N11" s="218">
        <v>214.0</v>
      </c>
      <c r="O11" s="218">
        <v>527.0</v>
      </c>
      <c r="P11" s="218">
        <v>906.0</v>
      </c>
      <c r="Q11" s="218">
        <v>45.0</v>
      </c>
      <c r="R11" s="218">
        <v>5.0</v>
      </c>
      <c r="S11" s="218">
        <v>0.0</v>
      </c>
      <c r="T11" s="130">
        <f t="shared" si="5"/>
        <v>1875</v>
      </c>
      <c r="U11" s="130">
        <f t="shared" si="6"/>
        <v>0</v>
      </c>
      <c r="V11" s="130">
        <f t="shared" si="7"/>
        <v>43674</v>
      </c>
      <c r="W11" s="130">
        <f t="shared" si="8"/>
        <v>1697</v>
      </c>
      <c r="X11" s="116">
        <f t="shared" si="9"/>
        <v>0.04466731782</v>
      </c>
      <c r="Y11" s="116">
        <f t="shared" si="10"/>
        <v>0.9553326822</v>
      </c>
      <c r="Z11" s="114">
        <f t="shared" si="1"/>
        <v>1875</v>
      </c>
      <c r="AA11" s="114">
        <f t="shared" si="2"/>
        <v>41977</v>
      </c>
      <c r="AB11" s="115">
        <f t="shared" si="11"/>
        <v>0.04466731782</v>
      </c>
      <c r="AC11" s="115">
        <f t="shared" si="12"/>
        <v>0.9553326822</v>
      </c>
      <c r="AD11" s="116"/>
      <c r="AE11" s="116"/>
      <c r="AF11" s="117"/>
      <c r="AG11" s="118" t="s">
        <v>49</v>
      </c>
      <c r="AH11" s="119">
        <v>169.0</v>
      </c>
      <c r="AI11" s="119">
        <v>0.0</v>
      </c>
      <c r="AJ11" s="119">
        <v>1147.0</v>
      </c>
      <c r="AK11" s="120">
        <v>134.0</v>
      </c>
      <c r="AL11" s="119">
        <v>135.0</v>
      </c>
      <c r="AM11" s="119">
        <v>302.0</v>
      </c>
      <c r="AN11" s="119">
        <v>8.0</v>
      </c>
      <c r="AO11" s="121">
        <v>73966.0</v>
      </c>
      <c r="AP11" s="131">
        <v>55569.0</v>
      </c>
      <c r="AQ11" s="119">
        <v>162.0</v>
      </c>
      <c r="AR11" s="119">
        <v>5002.0</v>
      </c>
      <c r="AS11" s="119">
        <v>3905.0</v>
      </c>
      <c r="AT11" s="119">
        <v>378.0</v>
      </c>
      <c r="AU11" s="119">
        <v>567.0</v>
      </c>
      <c r="AV11" s="119">
        <v>378.0</v>
      </c>
      <c r="AW11" s="120">
        <v>0.0</v>
      </c>
      <c r="AX11" s="120">
        <v>2057.0</v>
      </c>
      <c r="AY11" s="120">
        <v>48186.0</v>
      </c>
      <c r="AZ11" s="123">
        <v>0.04268874776906156</v>
      </c>
      <c r="BA11" s="123">
        <v>0.9573112522309385</v>
      </c>
      <c r="BB11" s="116"/>
      <c r="BC11" s="116"/>
      <c r="BD11" s="116"/>
      <c r="BE11" s="116"/>
      <c r="BF11" s="116"/>
      <c r="BG11" s="116"/>
      <c r="BH11" s="116"/>
      <c r="BI11" s="116"/>
    </row>
    <row r="12" ht="15.75" customHeight="1">
      <c r="A12" s="179"/>
      <c r="B12" s="38" t="s">
        <v>50</v>
      </c>
      <c r="C12" s="218">
        <v>985.0</v>
      </c>
      <c r="D12" s="218">
        <v>549.0</v>
      </c>
      <c r="E12" s="218">
        <v>0.0</v>
      </c>
      <c r="F12" s="236"/>
      <c r="G12" s="241">
        <v>7.0</v>
      </c>
      <c r="H12" s="218">
        <v>128.0</v>
      </c>
      <c r="I12" s="218">
        <v>36.0</v>
      </c>
      <c r="J12" s="218">
        <v>43.0</v>
      </c>
      <c r="K12" s="218">
        <v>0.0</v>
      </c>
      <c r="L12" s="218">
        <v>15620.0</v>
      </c>
      <c r="M12" s="218">
        <v>5289.0</v>
      </c>
      <c r="N12" s="218">
        <v>2077.0</v>
      </c>
      <c r="O12" s="218">
        <v>59.0</v>
      </c>
      <c r="P12" s="218">
        <v>5265.0</v>
      </c>
      <c r="Q12" s="218">
        <v>17.0</v>
      </c>
      <c r="R12" s="218">
        <v>0.0</v>
      </c>
      <c r="S12" s="218">
        <v>0.0</v>
      </c>
      <c r="T12" s="130">
        <f t="shared" si="5"/>
        <v>1541</v>
      </c>
      <c r="U12" s="130">
        <f t="shared" si="6"/>
        <v>207</v>
      </c>
      <c r="V12" s="130">
        <f t="shared" si="7"/>
        <v>20909</v>
      </c>
      <c r="W12" s="130">
        <f t="shared" si="8"/>
        <v>7418</v>
      </c>
      <c r="X12" s="116">
        <f t="shared" si="9"/>
        <v>0.1295678601</v>
      </c>
      <c r="Y12" s="116">
        <f t="shared" si="10"/>
        <v>0.8704321399</v>
      </c>
      <c r="Z12" s="114">
        <f t="shared" si="1"/>
        <v>1748</v>
      </c>
      <c r="AA12" s="114">
        <f t="shared" si="2"/>
        <v>13491</v>
      </c>
      <c r="AB12" s="115">
        <f t="shared" si="11"/>
        <v>0.1295678601</v>
      </c>
      <c r="AC12" s="115">
        <f t="shared" si="12"/>
        <v>0.8704321399</v>
      </c>
      <c r="AD12" s="116"/>
      <c r="AE12" s="116"/>
      <c r="AF12" s="117"/>
      <c r="AG12" s="118" t="s">
        <v>50</v>
      </c>
      <c r="AH12" s="119">
        <v>226.0</v>
      </c>
      <c r="AI12" s="119">
        <v>860.0</v>
      </c>
      <c r="AJ12" s="119">
        <v>514.0</v>
      </c>
      <c r="AK12" s="120">
        <v>31.0</v>
      </c>
      <c r="AL12" s="119">
        <v>3001.0</v>
      </c>
      <c r="AM12" s="119">
        <v>1982.0</v>
      </c>
      <c r="AN12" s="119">
        <v>559.0</v>
      </c>
      <c r="AO12" s="121">
        <v>242392.0</v>
      </c>
      <c r="AP12" s="131">
        <v>220608.0</v>
      </c>
      <c r="AQ12" s="119">
        <v>490.0</v>
      </c>
      <c r="AR12" s="119">
        <v>45067.0</v>
      </c>
      <c r="AS12" s="119">
        <v>6616.0</v>
      </c>
      <c r="AT12" s="119">
        <v>609.0</v>
      </c>
      <c r="AU12" s="119">
        <v>242.0</v>
      </c>
      <c r="AV12" s="119">
        <v>609.0</v>
      </c>
      <c r="AW12" s="120">
        <v>860.0</v>
      </c>
      <c r="AX12" s="135"/>
      <c r="AY12" s="135"/>
      <c r="AZ12" s="136"/>
      <c r="BA12" s="136"/>
      <c r="BB12" s="116"/>
      <c r="BC12" s="116"/>
      <c r="BD12" s="116"/>
      <c r="BE12" s="116"/>
      <c r="BF12" s="116"/>
      <c r="BG12" s="116"/>
      <c r="BH12" s="116"/>
      <c r="BI12" s="116"/>
    </row>
    <row r="13" ht="15.75" customHeight="1">
      <c r="A13" s="112"/>
      <c r="B13" s="38" t="s">
        <v>51</v>
      </c>
      <c r="C13" s="218">
        <v>870.0</v>
      </c>
      <c r="D13" s="218">
        <v>7111.0</v>
      </c>
      <c r="E13" s="218">
        <v>872.0</v>
      </c>
      <c r="F13" s="236"/>
      <c r="G13" s="241"/>
      <c r="H13" s="218"/>
      <c r="I13" s="218"/>
      <c r="J13" s="218"/>
      <c r="K13" s="218"/>
      <c r="L13" s="218">
        <v>67963.0</v>
      </c>
      <c r="M13" s="218">
        <v>55345.0</v>
      </c>
      <c r="N13" s="218">
        <v>431.0</v>
      </c>
      <c r="O13" s="218">
        <v>49.0</v>
      </c>
      <c r="P13" s="218">
        <v>5097.0</v>
      </c>
      <c r="Q13" s="218"/>
      <c r="R13" s="218"/>
      <c r="S13" s="218"/>
      <c r="T13" s="130">
        <f t="shared" si="5"/>
        <v>8853</v>
      </c>
      <c r="U13" s="130">
        <f t="shared" si="6"/>
        <v>0</v>
      </c>
      <c r="V13" s="130">
        <f t="shared" si="7"/>
        <v>123308</v>
      </c>
      <c r="W13" s="130">
        <f t="shared" si="8"/>
        <v>5577</v>
      </c>
      <c r="X13" s="116">
        <f t="shared" si="9"/>
        <v>0.07519684705</v>
      </c>
      <c r="Y13" s="116">
        <f t="shared" si="10"/>
        <v>0.924803153</v>
      </c>
      <c r="Z13" s="114">
        <f t="shared" si="1"/>
        <v>8853</v>
      </c>
      <c r="AA13" s="114">
        <f t="shared" si="2"/>
        <v>117731</v>
      </c>
      <c r="AB13" s="115">
        <f t="shared" si="11"/>
        <v>0.07519684705</v>
      </c>
      <c r="AC13" s="115">
        <f t="shared" si="12"/>
        <v>0.924803153</v>
      </c>
      <c r="AD13" s="116"/>
      <c r="AE13" s="116"/>
      <c r="AF13" s="117"/>
      <c r="AG13" s="118" t="s">
        <v>51</v>
      </c>
      <c r="AH13" s="119">
        <v>0.0</v>
      </c>
      <c r="AI13" s="119">
        <v>0.0</v>
      </c>
      <c r="AJ13" s="119">
        <v>3351.0</v>
      </c>
      <c r="AK13" s="120">
        <v>35.0</v>
      </c>
      <c r="AL13" s="119">
        <v>582.0</v>
      </c>
      <c r="AM13" s="119">
        <v>259.0</v>
      </c>
      <c r="AN13" s="119">
        <v>6.0</v>
      </c>
      <c r="AO13" s="121">
        <v>59720.0</v>
      </c>
      <c r="AP13" s="131">
        <v>37363.0</v>
      </c>
      <c r="AQ13" s="119">
        <v>40.0</v>
      </c>
      <c r="AR13" s="119">
        <v>7.0</v>
      </c>
      <c r="AS13" s="119">
        <v>6388.0</v>
      </c>
      <c r="AT13" s="119">
        <v>978.0</v>
      </c>
      <c r="AU13" s="119">
        <v>27.0</v>
      </c>
      <c r="AV13" s="119">
        <v>978.0</v>
      </c>
      <c r="AW13" s="120">
        <v>0.0</v>
      </c>
      <c r="AX13" s="120">
        <v>2678.0</v>
      </c>
      <c r="AY13" s="120">
        <v>125683.0</v>
      </c>
      <c r="AZ13" s="123">
        <v>0.021307575407970847</v>
      </c>
      <c r="BA13" s="123">
        <v>0.9786924245920292</v>
      </c>
      <c r="BB13" s="116"/>
      <c r="BC13" s="116"/>
      <c r="BD13" s="116"/>
      <c r="BE13" s="116"/>
      <c r="BF13" s="116"/>
      <c r="BG13" s="116"/>
      <c r="BH13" s="116"/>
      <c r="BI13" s="116"/>
    </row>
    <row r="14" ht="15.75" customHeight="1">
      <c r="A14" s="112"/>
      <c r="B14" s="38" t="s">
        <v>52</v>
      </c>
      <c r="C14" s="218">
        <v>311.0</v>
      </c>
      <c r="D14" s="218">
        <v>2242.0</v>
      </c>
      <c r="E14" s="218">
        <v>226.0</v>
      </c>
      <c r="F14" s="236"/>
      <c r="G14" s="241">
        <v>4938.0</v>
      </c>
      <c r="H14" s="218">
        <v>10161.0</v>
      </c>
      <c r="I14" s="218">
        <v>1056.0</v>
      </c>
      <c r="J14" s="218">
        <v>231.0</v>
      </c>
      <c r="K14" s="218">
        <v>0.0</v>
      </c>
      <c r="L14" s="218">
        <v>222025.0</v>
      </c>
      <c r="M14" s="218">
        <v>176445.0</v>
      </c>
      <c r="N14" s="218">
        <v>842.0</v>
      </c>
      <c r="O14" s="218">
        <v>31086.0</v>
      </c>
      <c r="P14" s="218">
        <v>7837.0</v>
      </c>
      <c r="Q14" s="218">
        <v>399.0</v>
      </c>
      <c r="R14" s="218">
        <v>638.0</v>
      </c>
      <c r="S14" s="218">
        <v>0.0</v>
      </c>
      <c r="T14" s="130">
        <f t="shared" si="5"/>
        <v>7717</v>
      </c>
      <c r="U14" s="130">
        <f t="shared" si="6"/>
        <v>11448</v>
      </c>
      <c r="V14" s="130">
        <f t="shared" si="7"/>
        <v>398470</v>
      </c>
      <c r="W14" s="130">
        <f t="shared" si="8"/>
        <v>40802</v>
      </c>
      <c r="X14" s="116">
        <f t="shared" si="9"/>
        <v>0.05358321125</v>
      </c>
      <c r="Y14" s="116">
        <f t="shared" si="10"/>
        <v>0.9464167888</v>
      </c>
      <c r="Z14" s="114">
        <f t="shared" si="1"/>
        <v>19165</v>
      </c>
      <c r="AA14" s="114">
        <f t="shared" si="2"/>
        <v>357668</v>
      </c>
      <c r="AB14" s="115">
        <f t="shared" si="11"/>
        <v>0.05358321125</v>
      </c>
      <c r="AC14" s="115">
        <f t="shared" si="12"/>
        <v>0.9464167888</v>
      </c>
      <c r="AD14" s="116"/>
      <c r="AE14" s="116"/>
      <c r="AF14" s="117"/>
      <c r="AG14" s="118" t="s">
        <v>52</v>
      </c>
      <c r="AH14" s="119">
        <v>18.0</v>
      </c>
      <c r="AI14" s="119">
        <v>1183.0</v>
      </c>
      <c r="AJ14" s="119">
        <v>1326.0</v>
      </c>
      <c r="AK14" s="120">
        <v>0.0</v>
      </c>
      <c r="AL14" s="119">
        <v>15.0</v>
      </c>
      <c r="AM14" s="119">
        <v>132.0</v>
      </c>
      <c r="AN14" s="119">
        <v>36.0</v>
      </c>
      <c r="AO14" s="121">
        <v>31011.0</v>
      </c>
      <c r="AP14" s="131">
        <v>21424.0</v>
      </c>
      <c r="AQ14" s="119">
        <v>324.0</v>
      </c>
      <c r="AR14" s="119">
        <v>1543.0</v>
      </c>
      <c r="AS14" s="119">
        <v>604.0</v>
      </c>
      <c r="AT14" s="119">
        <v>115.0</v>
      </c>
      <c r="AU14" s="119">
        <v>23.0</v>
      </c>
      <c r="AV14" s="119">
        <v>115.0</v>
      </c>
      <c r="AW14" s="120">
        <v>1183.0</v>
      </c>
      <c r="AX14" s="120">
        <v>2470.0</v>
      </c>
      <c r="AY14" s="120">
        <v>425733.0</v>
      </c>
      <c r="AZ14" s="123">
        <v>0.005801758379077967</v>
      </c>
      <c r="BA14" s="123">
        <v>0.9941982416209221</v>
      </c>
      <c r="BB14" s="116"/>
      <c r="BC14" s="116"/>
      <c r="BD14" s="116"/>
      <c r="BE14" s="116"/>
      <c r="BF14" s="116"/>
      <c r="BG14" s="116"/>
      <c r="BH14" s="116"/>
      <c r="BI14" s="116"/>
    </row>
    <row r="15" ht="15.75" customHeight="1">
      <c r="A15" s="112"/>
      <c r="B15" s="38" t="s">
        <v>53</v>
      </c>
      <c r="C15" s="218">
        <v>0.0</v>
      </c>
      <c r="D15" s="218">
        <v>1261.0</v>
      </c>
      <c r="E15" s="218">
        <v>0.0</v>
      </c>
      <c r="F15" s="236"/>
      <c r="G15" s="241">
        <v>446.0</v>
      </c>
      <c r="H15" s="218">
        <v>255.0</v>
      </c>
      <c r="I15" s="218">
        <v>16.0</v>
      </c>
      <c r="J15" s="218">
        <v>13.0</v>
      </c>
      <c r="K15" s="218">
        <v>0.0</v>
      </c>
      <c r="L15" s="218">
        <v>27233.0</v>
      </c>
      <c r="M15" s="218">
        <v>21851.0</v>
      </c>
      <c r="N15" s="218">
        <v>1.0</v>
      </c>
      <c r="O15" s="218">
        <v>69.0</v>
      </c>
      <c r="P15" s="218">
        <v>1664.0</v>
      </c>
      <c r="Q15" s="218">
        <v>0.0</v>
      </c>
      <c r="R15" s="218">
        <v>1.0</v>
      </c>
      <c r="S15" s="218">
        <v>0.0</v>
      </c>
      <c r="T15" s="130">
        <f t="shared" si="5"/>
        <v>1707</v>
      </c>
      <c r="U15" s="130">
        <f t="shared" si="6"/>
        <v>284</v>
      </c>
      <c r="V15" s="130">
        <f t="shared" si="7"/>
        <v>49084</v>
      </c>
      <c r="W15" s="130">
        <f t="shared" si="8"/>
        <v>1735</v>
      </c>
      <c r="X15" s="116">
        <f t="shared" si="9"/>
        <v>0.0420494625</v>
      </c>
      <c r="Y15" s="116">
        <f t="shared" si="10"/>
        <v>0.9579505375</v>
      </c>
      <c r="Z15" s="114">
        <f t="shared" si="1"/>
        <v>1991</v>
      </c>
      <c r="AA15" s="114">
        <f t="shared" si="2"/>
        <v>47349</v>
      </c>
      <c r="AB15" s="115">
        <f t="shared" si="11"/>
        <v>0.0420494625</v>
      </c>
      <c r="AC15" s="115">
        <f t="shared" si="12"/>
        <v>0.9579505375</v>
      </c>
      <c r="AD15" s="116"/>
      <c r="AE15" s="116"/>
      <c r="AF15" s="117"/>
      <c r="AG15" s="118" t="s">
        <v>53</v>
      </c>
      <c r="AH15" s="119">
        <v>0.0</v>
      </c>
      <c r="AI15" s="119">
        <v>2092.0</v>
      </c>
      <c r="AJ15" s="119">
        <v>647.0</v>
      </c>
      <c r="AK15" s="120">
        <v>167.0</v>
      </c>
      <c r="AL15" s="119">
        <v>172.0</v>
      </c>
      <c r="AM15" s="119">
        <v>162.0</v>
      </c>
      <c r="AN15" s="119">
        <v>17.0</v>
      </c>
      <c r="AO15" s="121">
        <v>22205.0</v>
      </c>
      <c r="AP15" s="131">
        <v>15763.0</v>
      </c>
      <c r="AQ15" s="119">
        <v>52.0</v>
      </c>
      <c r="AR15" s="119">
        <v>93.0</v>
      </c>
      <c r="AS15" s="119">
        <v>652.0</v>
      </c>
      <c r="AT15" s="119">
        <v>94.0</v>
      </c>
      <c r="AU15" s="119">
        <v>88.0</v>
      </c>
      <c r="AV15" s="119">
        <v>94.0</v>
      </c>
      <c r="AW15" s="120">
        <v>2092.0</v>
      </c>
      <c r="AX15" s="120">
        <v>1978.0</v>
      </c>
      <c r="AY15" s="120">
        <v>38295.0</v>
      </c>
      <c r="AZ15" s="123">
        <v>0.05165165165165165</v>
      </c>
      <c r="BA15" s="123">
        <v>0.9483483483483484</v>
      </c>
      <c r="BB15" s="116"/>
      <c r="BC15" s="116"/>
      <c r="BD15" s="116"/>
      <c r="BE15" s="116"/>
      <c r="BF15" s="116"/>
      <c r="BG15" s="116"/>
      <c r="BH15" s="116"/>
      <c r="BI15" s="116"/>
    </row>
    <row r="16" ht="15.75" customHeight="1">
      <c r="A16" s="112"/>
      <c r="B16" s="38" t="s">
        <v>54</v>
      </c>
      <c r="C16" s="218"/>
      <c r="D16" s="218">
        <v>11937.0</v>
      </c>
      <c r="E16" s="218"/>
      <c r="F16" s="236"/>
      <c r="G16" s="241">
        <v>6.0</v>
      </c>
      <c r="H16" s="218">
        <v>489.0</v>
      </c>
      <c r="I16" s="218">
        <v>29.0</v>
      </c>
      <c r="J16" s="218">
        <v>4.0</v>
      </c>
      <c r="K16" s="218">
        <v>0.0</v>
      </c>
      <c r="L16" s="218">
        <v>128732.0</v>
      </c>
      <c r="M16" s="218">
        <v>65586.0</v>
      </c>
      <c r="N16" s="218">
        <v>844.0</v>
      </c>
      <c r="O16" s="218">
        <v>1479.0</v>
      </c>
      <c r="P16" s="218">
        <v>58691.0</v>
      </c>
      <c r="Q16" s="218">
        <v>1397.0</v>
      </c>
      <c r="R16" s="218">
        <v>25.0</v>
      </c>
      <c r="S16" s="218">
        <v>211.0</v>
      </c>
      <c r="T16" s="130">
        <f t="shared" si="5"/>
        <v>11943</v>
      </c>
      <c r="U16" s="130">
        <f t="shared" si="6"/>
        <v>522</v>
      </c>
      <c r="V16" s="130">
        <f t="shared" si="7"/>
        <v>194318</v>
      </c>
      <c r="W16" s="130">
        <f t="shared" si="8"/>
        <v>62647</v>
      </c>
      <c r="X16" s="116">
        <f t="shared" si="9"/>
        <v>0.09466777043</v>
      </c>
      <c r="Y16" s="116">
        <f t="shared" si="10"/>
        <v>0.9053322296</v>
      </c>
      <c r="Z16" s="114">
        <f t="shared" si="1"/>
        <v>12465</v>
      </c>
      <c r="AA16" s="114">
        <f t="shared" si="2"/>
        <v>131671</v>
      </c>
      <c r="AB16" s="115">
        <f t="shared" si="11"/>
        <v>0.09466777043</v>
      </c>
      <c r="AC16" s="115">
        <f t="shared" si="12"/>
        <v>0.9053322296</v>
      </c>
      <c r="AD16" s="116"/>
      <c r="AE16" s="116"/>
      <c r="AF16" s="117"/>
      <c r="AG16" s="118" t="s">
        <v>54</v>
      </c>
      <c r="AH16" s="119">
        <v>10996.0</v>
      </c>
      <c r="AI16" s="119">
        <v>12.0</v>
      </c>
      <c r="AJ16" s="119">
        <v>2863.0</v>
      </c>
      <c r="AK16" s="120">
        <v>0.0</v>
      </c>
      <c r="AL16" s="119">
        <v>45.0</v>
      </c>
      <c r="AM16" s="119">
        <v>972.0</v>
      </c>
      <c r="AN16" s="119">
        <v>255.0</v>
      </c>
      <c r="AO16" s="121">
        <v>359304.0</v>
      </c>
      <c r="AP16" s="131">
        <v>78524.0</v>
      </c>
      <c r="AQ16" s="119">
        <v>10997.0</v>
      </c>
      <c r="AR16" s="119">
        <v>15631.0</v>
      </c>
      <c r="AS16" s="119">
        <v>21405.0</v>
      </c>
      <c r="AT16" s="119">
        <v>23.0</v>
      </c>
      <c r="AU16" s="119">
        <v>69.0</v>
      </c>
      <c r="AV16" s="119">
        <v>23.0</v>
      </c>
      <c r="AW16" s="120">
        <v>12.0</v>
      </c>
      <c r="AX16" s="120">
        <v>1558.0</v>
      </c>
      <c r="AY16" s="120">
        <v>139822.0</v>
      </c>
      <c r="AZ16" s="123">
        <v>0.01114273862482299</v>
      </c>
      <c r="BA16" s="123">
        <v>0.988857261375177</v>
      </c>
      <c r="BB16" s="116"/>
      <c r="BC16" s="116"/>
      <c r="BD16" s="116"/>
      <c r="BE16" s="116"/>
      <c r="BF16" s="116"/>
      <c r="BG16" s="116"/>
      <c r="BH16" s="116"/>
      <c r="BI16" s="116"/>
    </row>
    <row r="17" ht="15.75" customHeight="1">
      <c r="A17" s="112"/>
      <c r="B17" s="38" t="s">
        <v>55</v>
      </c>
      <c r="C17" s="218">
        <v>1213.0</v>
      </c>
      <c r="D17" s="218">
        <v>1054.0</v>
      </c>
      <c r="E17" s="218">
        <v>18.0</v>
      </c>
      <c r="F17" s="236"/>
      <c r="G17" s="241">
        <v>13.0</v>
      </c>
      <c r="H17" s="218">
        <v>33.0</v>
      </c>
      <c r="I17" s="218">
        <v>7.0</v>
      </c>
      <c r="J17" s="218">
        <v>6.0</v>
      </c>
      <c r="K17" s="218">
        <v>0.0</v>
      </c>
      <c r="L17" s="218">
        <v>23296.0</v>
      </c>
      <c r="M17" s="218">
        <v>68998.0</v>
      </c>
      <c r="N17" s="218">
        <v>680.0</v>
      </c>
      <c r="O17" s="218">
        <v>226.0</v>
      </c>
      <c r="P17" s="218">
        <v>12370.0</v>
      </c>
      <c r="Q17" s="218">
        <v>5.0</v>
      </c>
      <c r="R17" s="218">
        <v>4.0</v>
      </c>
      <c r="S17" s="218">
        <v>0.0</v>
      </c>
      <c r="T17" s="130">
        <f t="shared" si="5"/>
        <v>2298</v>
      </c>
      <c r="U17" s="130">
        <f t="shared" si="6"/>
        <v>46</v>
      </c>
      <c r="V17" s="130">
        <f t="shared" si="7"/>
        <v>92294</v>
      </c>
      <c r="W17" s="130">
        <f t="shared" si="8"/>
        <v>13285</v>
      </c>
      <c r="X17" s="116">
        <f t="shared" si="9"/>
        <v>0.02966750623</v>
      </c>
      <c r="Y17" s="116">
        <f t="shared" si="10"/>
        <v>0.9703324938</v>
      </c>
      <c r="Z17" s="114">
        <f t="shared" si="1"/>
        <v>2344</v>
      </c>
      <c r="AA17" s="114">
        <f t="shared" si="2"/>
        <v>79009</v>
      </c>
      <c r="AB17" s="115">
        <f t="shared" si="11"/>
        <v>0.02966750623</v>
      </c>
      <c r="AC17" s="115">
        <f t="shared" si="12"/>
        <v>0.9703324938</v>
      </c>
      <c r="AD17" s="116"/>
      <c r="AE17" s="116"/>
      <c r="AF17" s="117"/>
      <c r="AG17" s="118" t="s">
        <v>55</v>
      </c>
      <c r="AH17" s="119">
        <v>0.0</v>
      </c>
      <c r="AI17" s="119">
        <v>1.0</v>
      </c>
      <c r="AJ17" s="119">
        <v>15512.0</v>
      </c>
      <c r="AK17" s="120">
        <v>114.0</v>
      </c>
      <c r="AL17" s="119">
        <v>294.0</v>
      </c>
      <c r="AM17" s="119">
        <v>224.0</v>
      </c>
      <c r="AN17" s="119">
        <v>0.0</v>
      </c>
      <c r="AO17" s="121">
        <v>141751.0</v>
      </c>
      <c r="AP17" s="131">
        <v>22627.0</v>
      </c>
      <c r="AQ17" s="119">
        <v>4389.0</v>
      </c>
      <c r="AR17" s="119">
        <v>1343.0</v>
      </c>
      <c r="AS17" s="119">
        <v>62571.0</v>
      </c>
      <c r="AT17" s="119">
        <v>695.0</v>
      </c>
      <c r="AU17" s="119">
        <v>916.0</v>
      </c>
      <c r="AV17" s="119">
        <v>695.0</v>
      </c>
      <c r="AW17" s="120">
        <v>1.0</v>
      </c>
      <c r="AX17" s="120">
        <v>1659.0</v>
      </c>
      <c r="AY17" s="120">
        <v>136203.0</v>
      </c>
      <c r="AZ17" s="123">
        <v>0.01218034845047466</v>
      </c>
      <c r="BA17" s="123">
        <v>0.9878196515495253</v>
      </c>
      <c r="BB17" s="116"/>
      <c r="BC17" s="116"/>
      <c r="BD17" s="116"/>
      <c r="BE17" s="116"/>
      <c r="BF17" s="116"/>
      <c r="BG17" s="116"/>
      <c r="BH17" s="116"/>
      <c r="BI17" s="116"/>
    </row>
    <row r="18" ht="15.75" customHeight="1">
      <c r="A18" s="112"/>
      <c r="B18" s="38" t="s">
        <v>56</v>
      </c>
      <c r="C18" s="218">
        <v>9.0</v>
      </c>
      <c r="D18" s="218">
        <v>1730.0</v>
      </c>
      <c r="E18" s="218">
        <v>14.0</v>
      </c>
      <c r="F18" s="236"/>
      <c r="G18" s="241">
        <v>459.0</v>
      </c>
      <c r="H18" s="218">
        <v>171.0</v>
      </c>
      <c r="I18" s="218">
        <v>261.0</v>
      </c>
      <c r="J18" s="218">
        <v>57.0</v>
      </c>
      <c r="K18" s="218">
        <v>0.0</v>
      </c>
      <c r="L18" s="218">
        <v>40960.0</v>
      </c>
      <c r="M18" s="218">
        <v>159620.0</v>
      </c>
      <c r="N18" s="218">
        <v>0.0</v>
      </c>
      <c r="O18" s="218">
        <v>299.0</v>
      </c>
      <c r="P18" s="218">
        <v>737.0</v>
      </c>
      <c r="Q18" s="218">
        <v>222.0</v>
      </c>
      <c r="R18" s="218">
        <v>1515.0</v>
      </c>
      <c r="S18" s="218">
        <v>246.0</v>
      </c>
      <c r="T18" s="130">
        <f t="shared" si="5"/>
        <v>2212</v>
      </c>
      <c r="U18" s="130">
        <f t="shared" si="6"/>
        <v>489</v>
      </c>
      <c r="V18" s="130">
        <f t="shared" si="7"/>
        <v>200580</v>
      </c>
      <c r="W18" s="130">
        <f t="shared" si="8"/>
        <v>3019</v>
      </c>
      <c r="X18" s="116">
        <f t="shared" si="9"/>
        <v>0.01367172671</v>
      </c>
      <c r="Y18" s="116">
        <f t="shared" si="10"/>
        <v>0.9863282733</v>
      </c>
      <c r="Z18" s="114">
        <f t="shared" si="1"/>
        <v>2701</v>
      </c>
      <c r="AA18" s="114">
        <f t="shared" si="2"/>
        <v>197561</v>
      </c>
      <c r="AB18" s="115">
        <f t="shared" si="11"/>
        <v>0.01367172671</v>
      </c>
      <c r="AC18" s="115">
        <f t="shared" si="12"/>
        <v>0.9863282733</v>
      </c>
      <c r="AD18" s="116"/>
      <c r="AE18" s="116"/>
      <c r="AF18" s="117"/>
      <c r="AG18" s="118" t="s">
        <v>56</v>
      </c>
      <c r="AH18" s="119">
        <v>3.0</v>
      </c>
      <c r="AI18" s="119">
        <v>0.0</v>
      </c>
      <c r="AJ18" s="119">
        <v>669.0</v>
      </c>
      <c r="AK18" s="120">
        <v>9.0</v>
      </c>
      <c r="AL18" s="119">
        <v>4.0</v>
      </c>
      <c r="AM18" s="119">
        <v>53.0</v>
      </c>
      <c r="AN18" s="119">
        <v>3.0</v>
      </c>
      <c r="AO18" s="121">
        <v>26178.0</v>
      </c>
      <c r="AP18" s="131">
        <v>23204.0</v>
      </c>
      <c r="AQ18" s="119">
        <v>11.0</v>
      </c>
      <c r="AR18" s="119">
        <v>54.0</v>
      </c>
      <c r="AS18" s="119">
        <v>640.0</v>
      </c>
      <c r="AT18" s="119">
        <v>6.0</v>
      </c>
      <c r="AU18" s="119">
        <v>31.0</v>
      </c>
      <c r="AV18" s="119">
        <v>6.0</v>
      </c>
      <c r="AW18" s="120">
        <v>0.0</v>
      </c>
      <c r="AX18" s="120">
        <v>2358.0</v>
      </c>
      <c r="AY18" s="120">
        <v>225979.0</v>
      </c>
      <c r="AZ18" s="123">
        <v>0.010434597905115077</v>
      </c>
      <c r="BA18" s="123">
        <v>0.989565402094885</v>
      </c>
      <c r="BB18" s="116"/>
      <c r="BC18" s="116"/>
      <c r="BD18" s="116"/>
      <c r="BE18" s="116"/>
      <c r="BF18" s="116"/>
      <c r="BG18" s="116"/>
      <c r="BH18" s="116"/>
      <c r="BI18" s="116"/>
    </row>
    <row r="19" ht="15.75" customHeight="1">
      <c r="A19" s="112"/>
      <c r="B19" s="38" t="s">
        <v>57</v>
      </c>
      <c r="C19" s="218">
        <v>0.0</v>
      </c>
      <c r="D19" s="218">
        <v>8208.0</v>
      </c>
      <c r="E19" s="218">
        <v>81.0</v>
      </c>
      <c r="F19" s="236"/>
      <c r="G19" s="241">
        <v>86.0</v>
      </c>
      <c r="H19" s="218">
        <v>6.0</v>
      </c>
      <c r="I19" s="218">
        <v>19.0</v>
      </c>
      <c r="J19" s="218">
        <v>10.0</v>
      </c>
      <c r="K19" s="218">
        <v>0.0</v>
      </c>
      <c r="L19" s="218">
        <v>133368.0</v>
      </c>
      <c r="M19" s="218">
        <v>128434.0</v>
      </c>
      <c r="N19" s="218">
        <v>5773.0</v>
      </c>
      <c r="O19" s="218">
        <v>1288.0</v>
      </c>
      <c r="P19" s="218">
        <v>234.0</v>
      </c>
      <c r="Q19" s="218">
        <v>26.0</v>
      </c>
      <c r="R19" s="218">
        <v>3.0</v>
      </c>
      <c r="S19" s="218">
        <v>12.0</v>
      </c>
      <c r="T19" s="130">
        <f t="shared" si="5"/>
        <v>8375</v>
      </c>
      <c r="U19" s="130">
        <f t="shared" si="6"/>
        <v>35</v>
      </c>
      <c r="V19" s="130">
        <f t="shared" si="7"/>
        <v>261802</v>
      </c>
      <c r="W19" s="130">
        <f t="shared" si="8"/>
        <v>7336</v>
      </c>
      <c r="X19" s="116">
        <f t="shared" si="9"/>
        <v>0.03304960191</v>
      </c>
      <c r="Y19" s="116">
        <f t="shared" si="10"/>
        <v>0.9669503981</v>
      </c>
      <c r="Z19" s="114">
        <f t="shared" si="1"/>
        <v>8410</v>
      </c>
      <c r="AA19" s="114">
        <f t="shared" si="2"/>
        <v>254466</v>
      </c>
      <c r="AB19" s="115">
        <f t="shared" si="11"/>
        <v>0.03304960191</v>
      </c>
      <c r="AC19" s="115">
        <f t="shared" si="12"/>
        <v>0.9669503981</v>
      </c>
      <c r="AD19" s="116"/>
      <c r="AE19" s="116"/>
      <c r="AF19" s="117"/>
      <c r="AG19" s="118" t="s">
        <v>57</v>
      </c>
      <c r="AH19" s="119">
        <v>0.0</v>
      </c>
      <c r="AI19" s="119">
        <v>7.0</v>
      </c>
      <c r="AJ19" s="119">
        <v>2425.0</v>
      </c>
      <c r="AK19" s="120">
        <v>0.0</v>
      </c>
      <c r="AL19" s="119">
        <v>2.0</v>
      </c>
      <c r="AM19" s="119">
        <v>1.0</v>
      </c>
      <c r="AN19" s="119">
        <v>0.0</v>
      </c>
      <c r="AO19" s="121">
        <v>54496.0</v>
      </c>
      <c r="AP19" s="131">
        <v>27514.0</v>
      </c>
      <c r="AQ19" s="119">
        <v>8.0</v>
      </c>
      <c r="AR19" s="119">
        <v>239.0</v>
      </c>
      <c r="AS19" s="119">
        <v>267.0</v>
      </c>
      <c r="AT19" s="119">
        <v>3.0</v>
      </c>
      <c r="AU19" s="119">
        <v>37.0</v>
      </c>
      <c r="AV19" s="119">
        <v>3.0</v>
      </c>
      <c r="AW19" s="120">
        <v>7.0</v>
      </c>
      <c r="AX19" s="120">
        <v>5136.0</v>
      </c>
      <c r="AY19" s="120">
        <v>608626.0</v>
      </c>
      <c r="AZ19" s="123">
        <v>0.008438679911801337</v>
      </c>
      <c r="BA19" s="123">
        <v>0.9915613200881986</v>
      </c>
      <c r="BB19" s="116"/>
      <c r="BC19" s="116"/>
      <c r="BD19" s="116"/>
      <c r="BE19" s="116"/>
      <c r="BF19" s="116"/>
      <c r="BG19" s="116"/>
      <c r="BH19" s="116"/>
      <c r="BI19" s="116"/>
    </row>
    <row r="20" ht="15.75" customHeight="1">
      <c r="A20" s="179"/>
      <c r="B20" s="38" t="s">
        <v>58</v>
      </c>
      <c r="C20" s="218">
        <v>511.0</v>
      </c>
      <c r="D20" s="218">
        <v>3469.0</v>
      </c>
      <c r="E20" s="218">
        <v>31658.0</v>
      </c>
      <c r="F20" s="236"/>
      <c r="G20" s="241">
        <v>0.0</v>
      </c>
      <c r="H20" s="218">
        <v>3384.0</v>
      </c>
      <c r="I20" s="218">
        <v>3251.0</v>
      </c>
      <c r="J20" s="218">
        <v>64.0</v>
      </c>
      <c r="K20" s="218">
        <v>61.0</v>
      </c>
      <c r="L20" s="218">
        <v>344038.0</v>
      </c>
      <c r="M20" s="218">
        <v>139450.0</v>
      </c>
      <c r="N20" s="218">
        <v>23867.0</v>
      </c>
      <c r="O20" s="218">
        <v>7319.0</v>
      </c>
      <c r="P20" s="218">
        <v>2493.0</v>
      </c>
      <c r="Q20" s="218">
        <v>957.0</v>
      </c>
      <c r="R20" s="218">
        <v>27522.0</v>
      </c>
      <c r="S20" s="218">
        <v>0.0</v>
      </c>
      <c r="T20" s="130">
        <f t="shared" si="5"/>
        <v>35638</v>
      </c>
      <c r="U20" s="130">
        <f t="shared" si="6"/>
        <v>6760</v>
      </c>
      <c r="V20" s="130">
        <f t="shared" si="7"/>
        <v>483488</v>
      </c>
      <c r="W20" s="130">
        <f t="shared" si="8"/>
        <v>62158</v>
      </c>
      <c r="X20" s="116">
        <f t="shared" si="9"/>
        <v>0.1006289607</v>
      </c>
      <c r="Y20" s="116">
        <f t="shared" si="10"/>
        <v>0.8993710393</v>
      </c>
      <c r="Z20" s="133"/>
      <c r="AA20" s="133"/>
      <c r="AB20" s="134"/>
      <c r="AC20" s="134"/>
      <c r="AD20" s="116"/>
      <c r="AE20" s="116"/>
      <c r="AF20" s="117"/>
      <c r="AG20" s="118" t="s">
        <v>58</v>
      </c>
      <c r="AH20" s="119">
        <v>0.0</v>
      </c>
      <c r="AI20" s="119">
        <v>982.0</v>
      </c>
      <c r="AJ20" s="119">
        <v>6525.0</v>
      </c>
      <c r="AK20" s="120">
        <v>197.0</v>
      </c>
      <c r="AL20" s="119">
        <v>1733.0</v>
      </c>
      <c r="AM20" s="119">
        <v>937.0</v>
      </c>
      <c r="AN20" s="119">
        <v>207.0</v>
      </c>
      <c r="AO20" s="121">
        <v>131694.0</v>
      </c>
      <c r="AP20" s="131">
        <v>27514.0</v>
      </c>
      <c r="AQ20" s="119">
        <v>1930.0</v>
      </c>
      <c r="AR20" s="119">
        <v>2.0</v>
      </c>
      <c r="AS20" s="119">
        <v>44.0</v>
      </c>
      <c r="AT20" s="119">
        <v>161.0</v>
      </c>
      <c r="AU20" s="119">
        <v>582.0</v>
      </c>
      <c r="AV20" s="119">
        <v>161.0</v>
      </c>
      <c r="AW20" s="120">
        <v>982.0</v>
      </c>
      <c r="AX20" s="120">
        <v>52872.0</v>
      </c>
      <c r="AY20" s="120">
        <v>512876.0</v>
      </c>
      <c r="AZ20" s="123">
        <v>0.10308924574361054</v>
      </c>
      <c r="BA20" s="123">
        <v>0.8969107542563894</v>
      </c>
      <c r="BB20" s="116"/>
      <c r="BC20" s="116"/>
      <c r="BD20" s="116"/>
      <c r="BE20" s="116"/>
      <c r="BF20" s="116"/>
      <c r="BG20" s="116"/>
      <c r="BH20" s="116"/>
      <c r="BI20" s="116"/>
    </row>
    <row r="21" ht="15.75" customHeight="1">
      <c r="A21" s="179"/>
      <c r="B21" s="38" t="s">
        <v>59</v>
      </c>
      <c r="C21" s="218">
        <v>2.0</v>
      </c>
      <c r="D21" s="218">
        <v>5782.0</v>
      </c>
      <c r="E21" s="218">
        <v>0.0</v>
      </c>
      <c r="F21" s="236"/>
      <c r="G21" s="241">
        <v>361.0</v>
      </c>
      <c r="H21" s="218">
        <v>0.0</v>
      </c>
      <c r="I21" s="218">
        <v>58.0</v>
      </c>
      <c r="J21" s="218">
        <v>57.0</v>
      </c>
      <c r="K21" s="218">
        <v>0.0</v>
      </c>
      <c r="L21" s="218">
        <v>45666.0</v>
      </c>
      <c r="M21" s="218">
        <v>23483.0</v>
      </c>
      <c r="N21" s="218">
        <v>598.0</v>
      </c>
      <c r="O21" s="218">
        <v>991.0</v>
      </c>
      <c r="P21" s="218">
        <v>4246.0</v>
      </c>
      <c r="Q21" s="218">
        <v>115.0</v>
      </c>
      <c r="R21" s="218">
        <v>273.0</v>
      </c>
      <c r="S21" s="218">
        <v>3.0</v>
      </c>
      <c r="T21" s="130">
        <f t="shared" si="5"/>
        <v>6145</v>
      </c>
      <c r="U21" s="130">
        <f t="shared" si="6"/>
        <v>115</v>
      </c>
      <c r="V21" s="130">
        <f t="shared" si="7"/>
        <v>69149</v>
      </c>
      <c r="W21" s="130">
        <f t="shared" si="8"/>
        <v>6226</v>
      </c>
      <c r="X21" s="116">
        <f t="shared" si="9"/>
        <v>0.09948667419</v>
      </c>
      <c r="Y21" s="116">
        <f t="shared" si="10"/>
        <v>0.9005133258</v>
      </c>
      <c r="Z21" s="114">
        <f t="shared" ref="Z21:Z22" si="13">SUM(C21:K21)</f>
        <v>6260</v>
      </c>
      <c r="AA21" s="114">
        <f t="shared" ref="AA21:AA22" si="14">((L21+M21)-(SUM(N21:S21)))</f>
        <v>62923</v>
      </c>
      <c r="AB21" s="115">
        <f t="shared" ref="AB21:AB22" si="15">Z21/AA21</f>
        <v>0.09948667419</v>
      </c>
      <c r="AC21" s="115">
        <f t="shared" ref="AC21:AC22" si="16">100%-AB21</f>
        <v>0.9005133258</v>
      </c>
      <c r="AD21" s="116"/>
      <c r="AE21" s="116"/>
      <c r="AF21" s="117"/>
      <c r="AG21" s="118" t="s">
        <v>59</v>
      </c>
      <c r="AH21" s="119">
        <v>0.0</v>
      </c>
      <c r="AI21" s="119">
        <v>59.0</v>
      </c>
      <c r="AJ21" s="119">
        <v>4654.0</v>
      </c>
      <c r="AK21" s="120">
        <v>26.0</v>
      </c>
      <c r="AL21" s="119">
        <v>3.0</v>
      </c>
      <c r="AM21" s="119">
        <v>24.0</v>
      </c>
      <c r="AN21" s="119">
        <v>2.0</v>
      </c>
      <c r="AO21" s="121">
        <v>48858.0</v>
      </c>
      <c r="AP21" s="131">
        <v>32935.0</v>
      </c>
      <c r="AQ21" s="119">
        <v>456.0</v>
      </c>
      <c r="AR21" s="119">
        <v>1186.0</v>
      </c>
      <c r="AS21" s="119">
        <v>2559.0</v>
      </c>
      <c r="AT21" s="119">
        <v>22.0</v>
      </c>
      <c r="AU21" s="119">
        <v>36.0</v>
      </c>
      <c r="AV21" s="119">
        <v>22.0</v>
      </c>
      <c r="AW21" s="120">
        <v>59.0</v>
      </c>
      <c r="AX21" s="135"/>
      <c r="AY21" s="135"/>
      <c r="AZ21" s="136"/>
      <c r="BA21" s="136"/>
      <c r="BB21" s="116"/>
      <c r="BC21" s="116"/>
      <c r="BD21" s="116"/>
      <c r="BE21" s="116"/>
      <c r="BF21" s="116"/>
      <c r="BG21" s="116"/>
      <c r="BH21" s="116"/>
      <c r="BI21" s="116"/>
    </row>
    <row r="22" ht="15.75" customHeight="1">
      <c r="A22" s="179"/>
      <c r="B22" s="38" t="s">
        <v>60</v>
      </c>
      <c r="C22" s="218">
        <v>40.0</v>
      </c>
      <c r="D22" s="218">
        <v>1643.0</v>
      </c>
      <c r="E22" s="218">
        <v>50.0</v>
      </c>
      <c r="F22" s="236"/>
      <c r="G22" s="241">
        <v>204.0</v>
      </c>
      <c r="H22" s="218">
        <v>47.0</v>
      </c>
      <c r="I22" s="218">
        <v>87.0</v>
      </c>
      <c r="J22" s="218">
        <v>73.0</v>
      </c>
      <c r="K22" s="218">
        <v>1.0</v>
      </c>
      <c r="L22" s="218">
        <v>43620.0</v>
      </c>
      <c r="M22" s="218">
        <v>30514.0</v>
      </c>
      <c r="N22" s="218">
        <v>568.0</v>
      </c>
      <c r="O22" s="218">
        <v>288.0</v>
      </c>
      <c r="P22" s="218">
        <v>1686.0</v>
      </c>
      <c r="Q22" s="218">
        <v>62.0</v>
      </c>
      <c r="R22" s="218">
        <v>1.0</v>
      </c>
      <c r="S22" s="218">
        <v>2.0</v>
      </c>
      <c r="T22" s="130">
        <f t="shared" si="5"/>
        <v>1937</v>
      </c>
      <c r="U22" s="130">
        <f t="shared" si="6"/>
        <v>208</v>
      </c>
      <c r="V22" s="130">
        <f t="shared" si="7"/>
        <v>74134</v>
      </c>
      <c r="W22" s="130">
        <f t="shared" si="8"/>
        <v>2607</v>
      </c>
      <c r="X22" s="116">
        <f t="shared" si="9"/>
        <v>0.02998867561</v>
      </c>
      <c r="Y22" s="116">
        <f t="shared" si="10"/>
        <v>0.9700113244</v>
      </c>
      <c r="Z22" s="114">
        <f t="shared" si="13"/>
        <v>2145</v>
      </c>
      <c r="AA22" s="114">
        <f t="shared" si="14"/>
        <v>71527</v>
      </c>
      <c r="AB22" s="115">
        <f t="shared" si="15"/>
        <v>0.02998867561</v>
      </c>
      <c r="AC22" s="115">
        <f t="shared" si="16"/>
        <v>0.9700113244</v>
      </c>
      <c r="AD22" s="116"/>
      <c r="AE22" s="116"/>
      <c r="AF22" s="117"/>
      <c r="AG22" s="118" t="s">
        <v>60</v>
      </c>
      <c r="AH22" s="119">
        <v>0.0</v>
      </c>
      <c r="AI22" s="119">
        <v>715.0</v>
      </c>
      <c r="AJ22" s="119">
        <v>818.0</v>
      </c>
      <c r="AK22" s="120">
        <v>1.0</v>
      </c>
      <c r="AL22" s="119">
        <v>56.0</v>
      </c>
      <c r="AM22" s="119">
        <v>114.0</v>
      </c>
      <c r="AN22" s="119">
        <v>191.0</v>
      </c>
      <c r="AO22" s="121">
        <v>46258.0</v>
      </c>
      <c r="AP22" s="131">
        <v>37050.0</v>
      </c>
      <c r="AQ22" s="119">
        <v>297.0</v>
      </c>
      <c r="AR22" s="119">
        <v>960.0</v>
      </c>
      <c r="AS22" s="119">
        <v>1229.0</v>
      </c>
      <c r="AT22" s="119">
        <v>11.0</v>
      </c>
      <c r="AU22" s="119">
        <v>18.0</v>
      </c>
      <c r="AV22" s="119">
        <v>11.0</v>
      </c>
      <c r="AW22" s="120">
        <v>715.0</v>
      </c>
      <c r="AX22" s="120">
        <v>1688.0</v>
      </c>
      <c r="AY22" s="120">
        <v>79016.0</v>
      </c>
      <c r="AZ22" s="123">
        <v>0.02136276197225878</v>
      </c>
      <c r="BA22" s="123">
        <v>0.9786372380277413</v>
      </c>
      <c r="BB22" s="116"/>
      <c r="BC22" s="116"/>
      <c r="BD22" s="116"/>
      <c r="BE22" s="116"/>
      <c r="BF22" s="116"/>
      <c r="BG22" s="116"/>
      <c r="BH22" s="116"/>
      <c r="BI22" s="116"/>
    </row>
    <row r="23" ht="15.75" customHeight="1">
      <c r="A23" s="112"/>
      <c r="B23" s="38" t="s">
        <v>61</v>
      </c>
      <c r="C23" s="218">
        <v>0.0</v>
      </c>
      <c r="D23" s="218">
        <v>3955.0</v>
      </c>
      <c r="E23" s="218">
        <v>278.0</v>
      </c>
      <c r="F23" s="236"/>
      <c r="G23" s="241">
        <v>0.0</v>
      </c>
      <c r="H23" s="218">
        <v>0.0</v>
      </c>
      <c r="I23" s="218">
        <v>21.0</v>
      </c>
      <c r="J23" s="218">
        <v>0.0</v>
      </c>
      <c r="K23" s="218">
        <v>0.0</v>
      </c>
      <c r="L23" s="218">
        <v>5114.0</v>
      </c>
      <c r="M23" s="218">
        <v>3873.0</v>
      </c>
      <c r="N23" s="218">
        <v>0.0</v>
      </c>
      <c r="O23" s="218">
        <v>0.0</v>
      </c>
      <c r="P23" s="218">
        <v>199.0</v>
      </c>
      <c r="Q23" s="218">
        <v>21.0</v>
      </c>
      <c r="R23" s="218">
        <v>0.0</v>
      </c>
      <c r="S23" s="218">
        <v>52.0</v>
      </c>
      <c r="T23" s="130">
        <f t="shared" si="5"/>
        <v>4233</v>
      </c>
      <c r="U23" s="130">
        <f t="shared" si="6"/>
        <v>21</v>
      </c>
      <c r="V23" s="130">
        <f t="shared" si="7"/>
        <v>8987</v>
      </c>
      <c r="W23" s="130">
        <f t="shared" si="8"/>
        <v>272</v>
      </c>
      <c r="X23" s="116">
        <f t="shared" si="9"/>
        <v>0.4881239243</v>
      </c>
      <c r="Y23" s="116">
        <f t="shared" si="10"/>
        <v>0.5118760757</v>
      </c>
      <c r="Z23" s="133"/>
      <c r="AA23" s="133"/>
      <c r="AB23" s="134"/>
      <c r="AC23" s="134"/>
      <c r="AD23" s="116"/>
      <c r="AE23" s="116"/>
      <c r="AF23" s="117"/>
      <c r="AG23" s="140" t="s">
        <v>61</v>
      </c>
      <c r="AH23" s="141"/>
      <c r="AI23" s="142">
        <v>0.0</v>
      </c>
      <c r="AJ23" s="141"/>
      <c r="AK23" s="141"/>
      <c r="AL23" s="142">
        <v>0.0</v>
      </c>
      <c r="AM23" s="142">
        <v>0.0</v>
      </c>
      <c r="AN23" s="142">
        <v>0.0</v>
      </c>
      <c r="AO23" s="143">
        <v>0.0</v>
      </c>
      <c r="AP23" s="144">
        <v>5333.0</v>
      </c>
      <c r="AQ23" s="142">
        <v>0.0</v>
      </c>
      <c r="AR23" s="142">
        <v>0.0</v>
      </c>
      <c r="AS23" s="142">
        <v>0.0</v>
      </c>
      <c r="AT23" s="141"/>
      <c r="AU23" s="142">
        <v>0.0</v>
      </c>
      <c r="AV23" s="142">
        <v>0.0</v>
      </c>
      <c r="AW23" s="141"/>
      <c r="AX23" s="120">
        <v>439.0</v>
      </c>
      <c r="AY23" s="120">
        <v>24969.0</v>
      </c>
      <c r="AZ23" s="117">
        <v>0.017581801433777886</v>
      </c>
      <c r="BA23" s="123">
        <v>0.9824181985662221</v>
      </c>
      <c r="BB23" s="116"/>
      <c r="BC23" s="116"/>
      <c r="BD23" s="116"/>
      <c r="BE23" s="116"/>
      <c r="BF23" s="116"/>
      <c r="BG23" s="116"/>
      <c r="BH23" s="116"/>
      <c r="BI23" s="116"/>
    </row>
    <row r="24" ht="15.75" customHeight="1">
      <c r="A24" s="112"/>
      <c r="B24" s="38" t="s">
        <v>62</v>
      </c>
      <c r="C24" s="218">
        <v>675.0</v>
      </c>
      <c r="D24" s="218">
        <v>6431.0</v>
      </c>
      <c r="E24" s="218">
        <v>675.0</v>
      </c>
      <c r="F24" s="236"/>
      <c r="G24" s="241">
        <v>0.0</v>
      </c>
      <c r="H24" s="218">
        <v>0.0</v>
      </c>
      <c r="I24" s="218">
        <v>1023.0</v>
      </c>
      <c r="J24" s="218">
        <v>391.0</v>
      </c>
      <c r="K24" s="218">
        <v>0.0</v>
      </c>
      <c r="L24" s="218">
        <v>89804.0</v>
      </c>
      <c r="M24" s="218">
        <v>53601.0</v>
      </c>
      <c r="N24" s="218">
        <v>887.0</v>
      </c>
      <c r="O24" s="218">
        <v>4276.0</v>
      </c>
      <c r="P24" s="218">
        <v>8653.0</v>
      </c>
      <c r="Q24" s="218">
        <v>1670.0</v>
      </c>
      <c r="R24" s="218">
        <v>4276.0</v>
      </c>
      <c r="S24" s="218">
        <v>1670.0</v>
      </c>
      <c r="T24" s="130">
        <f t="shared" si="5"/>
        <v>7781</v>
      </c>
      <c r="U24" s="130">
        <f t="shared" si="6"/>
        <v>1414</v>
      </c>
      <c r="V24" s="130">
        <f t="shared" si="7"/>
        <v>143405</v>
      </c>
      <c r="W24" s="130">
        <f t="shared" si="8"/>
        <v>21432</v>
      </c>
      <c r="X24" s="116">
        <f t="shared" si="9"/>
        <v>0.07538553614</v>
      </c>
      <c r="Y24" s="116">
        <f t="shared" si="10"/>
        <v>0.9246144639</v>
      </c>
      <c r="Z24" s="114">
        <f t="shared" ref="Z24:Z25" si="17">SUM(C24:K24)</f>
        <v>9195</v>
      </c>
      <c r="AA24" s="114">
        <f t="shared" ref="AA24:AA25" si="18">((L24+M24)-(SUM(N24:S24)))</f>
        <v>121973</v>
      </c>
      <c r="AB24" s="115">
        <f t="shared" ref="AB24:AB25" si="19">Z24/AA24</f>
        <v>0.07538553614</v>
      </c>
      <c r="AC24" s="115">
        <f t="shared" ref="AC24:AC25" si="20">100%-AB24</f>
        <v>0.9246144639</v>
      </c>
      <c r="AD24" s="116"/>
      <c r="AE24" s="116"/>
      <c r="AF24" s="117"/>
      <c r="AG24" s="118" t="s">
        <v>62</v>
      </c>
      <c r="AH24" s="119">
        <v>338.0</v>
      </c>
      <c r="AI24" s="119">
        <v>7141.0</v>
      </c>
      <c r="AJ24" s="119">
        <v>5609.0</v>
      </c>
      <c r="AK24" s="120">
        <v>67.0</v>
      </c>
      <c r="AL24" s="119">
        <v>388.0</v>
      </c>
      <c r="AM24" s="119">
        <v>815.0</v>
      </c>
      <c r="AN24" s="119">
        <v>233.0</v>
      </c>
      <c r="AO24" s="121">
        <v>95562.0</v>
      </c>
      <c r="AP24" s="131">
        <v>134403.0</v>
      </c>
      <c r="AQ24" s="119">
        <v>1213.0</v>
      </c>
      <c r="AR24" s="119">
        <v>585.0</v>
      </c>
      <c r="AS24" s="119">
        <v>703.0</v>
      </c>
      <c r="AT24" s="119">
        <v>185.0</v>
      </c>
      <c r="AU24" s="119">
        <v>192.0</v>
      </c>
      <c r="AV24" s="119">
        <v>185.0</v>
      </c>
      <c r="AW24" s="120">
        <v>7141.0</v>
      </c>
      <c r="AX24" s="120">
        <v>15202.0</v>
      </c>
      <c r="AY24" s="120">
        <v>267767.0</v>
      </c>
      <c r="AZ24" s="123">
        <v>0.05677323942083976</v>
      </c>
      <c r="BA24" s="123">
        <v>0.9432267605791602</v>
      </c>
      <c r="BB24" s="116"/>
      <c r="BC24" s="116"/>
      <c r="BD24" s="116"/>
      <c r="BE24" s="116"/>
      <c r="BF24" s="116"/>
      <c r="BG24" s="116"/>
      <c r="BH24" s="116"/>
      <c r="BI24" s="116"/>
    </row>
    <row r="25" ht="15.75" customHeight="1">
      <c r="A25" s="112"/>
      <c r="B25" s="38" t="s">
        <v>63</v>
      </c>
      <c r="C25" s="218">
        <v>36.0</v>
      </c>
      <c r="D25" s="218">
        <v>3397.0</v>
      </c>
      <c r="E25" s="218">
        <v>30.0</v>
      </c>
      <c r="F25" s="236"/>
      <c r="G25" s="241">
        <v>61.0</v>
      </c>
      <c r="H25" s="218">
        <v>64.0</v>
      </c>
      <c r="I25" s="218">
        <v>44.0</v>
      </c>
      <c r="J25" s="218">
        <v>32.0</v>
      </c>
      <c r="K25" s="218">
        <v>1.0</v>
      </c>
      <c r="L25" s="218">
        <v>43164.0</v>
      </c>
      <c r="M25" s="218">
        <v>28119.0</v>
      </c>
      <c r="N25" s="218">
        <v>2271.0</v>
      </c>
      <c r="O25" s="218">
        <v>19.0</v>
      </c>
      <c r="P25" s="218">
        <v>489.0</v>
      </c>
      <c r="Q25" s="218">
        <v>0.0</v>
      </c>
      <c r="R25" s="218">
        <v>7613.0</v>
      </c>
      <c r="S25" s="218">
        <v>16.0</v>
      </c>
      <c r="T25" s="130">
        <f t="shared" si="5"/>
        <v>3524</v>
      </c>
      <c r="U25" s="130">
        <f t="shared" si="6"/>
        <v>141</v>
      </c>
      <c r="V25" s="130">
        <f t="shared" si="7"/>
        <v>71283</v>
      </c>
      <c r="W25" s="130">
        <f t="shared" si="8"/>
        <v>10408</v>
      </c>
      <c r="X25" s="116">
        <f t="shared" si="9"/>
        <v>0.06020533881</v>
      </c>
      <c r="Y25" s="116">
        <f t="shared" si="10"/>
        <v>0.9397946612</v>
      </c>
      <c r="Z25" s="114">
        <f t="shared" si="17"/>
        <v>3665</v>
      </c>
      <c r="AA25" s="114">
        <f t="shared" si="18"/>
        <v>60875</v>
      </c>
      <c r="AB25" s="115">
        <f t="shared" si="19"/>
        <v>0.06020533881</v>
      </c>
      <c r="AC25" s="115">
        <f t="shared" si="20"/>
        <v>0.9397946612</v>
      </c>
      <c r="AD25" s="116"/>
      <c r="AE25" s="116"/>
      <c r="AF25" s="117"/>
      <c r="AG25" s="118" t="s">
        <v>63</v>
      </c>
      <c r="AH25" s="119">
        <v>29.0</v>
      </c>
      <c r="AI25" s="119">
        <v>1632.0</v>
      </c>
      <c r="AJ25" s="119">
        <v>1017.0</v>
      </c>
      <c r="AK25" s="120">
        <v>14.0</v>
      </c>
      <c r="AL25" s="119">
        <v>8.0</v>
      </c>
      <c r="AM25" s="119">
        <v>40.0</v>
      </c>
      <c r="AN25" s="119">
        <v>22.0</v>
      </c>
      <c r="AO25" s="121">
        <v>43677.0</v>
      </c>
      <c r="AP25" s="131">
        <v>32827.0</v>
      </c>
      <c r="AQ25" s="119">
        <v>675.0</v>
      </c>
      <c r="AR25" s="119">
        <v>0.0</v>
      </c>
      <c r="AS25" s="119">
        <v>368.0</v>
      </c>
      <c r="AT25" s="119">
        <v>34.0</v>
      </c>
      <c r="AU25" s="119">
        <v>1.0</v>
      </c>
      <c r="AV25" s="119">
        <v>34.0</v>
      </c>
      <c r="AW25" s="120">
        <v>1632.0</v>
      </c>
      <c r="AX25" s="120">
        <v>178.0</v>
      </c>
      <c r="AY25" s="120">
        <v>108766.0</v>
      </c>
      <c r="AZ25" s="123">
        <v>0.001636540830774323</v>
      </c>
      <c r="BA25" s="123">
        <v>0.9983634591692256</v>
      </c>
      <c r="BB25" s="116"/>
      <c r="BC25" s="116"/>
      <c r="BD25" s="116"/>
      <c r="BE25" s="116"/>
      <c r="BF25" s="116"/>
      <c r="BG25" s="116"/>
      <c r="BH25" s="116"/>
      <c r="BI25" s="116"/>
    </row>
    <row r="26" ht="15.75" customHeight="1">
      <c r="A26" s="112"/>
      <c r="B26" s="38" t="s">
        <v>64</v>
      </c>
      <c r="C26" s="218">
        <v>4.0</v>
      </c>
      <c r="D26" s="218">
        <v>6838.0</v>
      </c>
      <c r="E26" s="218">
        <v>0.0</v>
      </c>
      <c r="F26" s="236"/>
      <c r="G26" s="241">
        <v>93.0</v>
      </c>
      <c r="H26" s="218">
        <v>183.0</v>
      </c>
      <c r="I26" s="218">
        <v>115.0</v>
      </c>
      <c r="J26" s="218">
        <v>46.0</v>
      </c>
      <c r="K26" s="218">
        <v>0.0</v>
      </c>
      <c r="L26" s="218">
        <v>74710.0</v>
      </c>
      <c r="M26" s="218">
        <v>48826.0</v>
      </c>
      <c r="N26" s="218">
        <v>181.0</v>
      </c>
      <c r="O26" s="218">
        <v>2293.0</v>
      </c>
      <c r="P26" s="218">
        <v>100794.0</v>
      </c>
      <c r="Q26" s="218">
        <v>164.0</v>
      </c>
      <c r="R26" s="218">
        <v>1447.0</v>
      </c>
      <c r="S26" s="218">
        <v>45.0</v>
      </c>
      <c r="T26" s="130">
        <f t="shared" si="5"/>
        <v>6935</v>
      </c>
      <c r="U26" s="130">
        <f t="shared" si="6"/>
        <v>344</v>
      </c>
      <c r="V26" s="130">
        <f t="shared" si="7"/>
        <v>123536</v>
      </c>
      <c r="W26" s="130">
        <f t="shared" si="8"/>
        <v>104924</v>
      </c>
      <c r="X26" s="116">
        <f t="shared" si="9"/>
        <v>0.3910917688</v>
      </c>
      <c r="Y26" s="116">
        <f t="shared" si="10"/>
        <v>0.6089082312</v>
      </c>
      <c r="Z26" s="133"/>
      <c r="AA26" s="133"/>
      <c r="AB26" s="134"/>
      <c r="AC26" s="134"/>
      <c r="AD26" s="116"/>
      <c r="AE26" s="116"/>
      <c r="AF26" s="117"/>
      <c r="AG26" s="118" t="s">
        <v>64</v>
      </c>
      <c r="AH26" s="119">
        <v>21.0</v>
      </c>
      <c r="AI26" s="119">
        <v>36.0</v>
      </c>
      <c r="AJ26" s="119">
        <v>4703.0</v>
      </c>
      <c r="AK26" s="120">
        <v>27.0</v>
      </c>
      <c r="AL26" s="119">
        <v>8.0</v>
      </c>
      <c r="AM26" s="119">
        <v>4.0</v>
      </c>
      <c r="AN26" s="119">
        <v>9.0</v>
      </c>
      <c r="AO26" s="121">
        <v>77244.0</v>
      </c>
      <c r="AP26" s="131">
        <v>36369.0</v>
      </c>
      <c r="AQ26" s="119">
        <v>2.0</v>
      </c>
      <c r="AR26" s="119">
        <v>70.0</v>
      </c>
      <c r="AS26" s="119">
        <v>32699.0</v>
      </c>
      <c r="AT26" s="119">
        <v>12.0</v>
      </c>
      <c r="AU26" s="119">
        <v>173.0</v>
      </c>
      <c r="AV26" s="119">
        <v>12.0</v>
      </c>
      <c r="AW26" s="120">
        <v>36.0</v>
      </c>
      <c r="AX26" s="120">
        <v>9717.0</v>
      </c>
      <c r="AY26" s="120">
        <v>66757.0</v>
      </c>
      <c r="AZ26" s="123">
        <v>0.14555776922270325</v>
      </c>
      <c r="BA26" s="123">
        <v>0.8544422307772968</v>
      </c>
      <c r="BB26" s="116"/>
      <c r="BC26" s="116"/>
      <c r="BD26" s="116"/>
      <c r="BE26" s="116"/>
      <c r="BF26" s="116"/>
      <c r="BG26" s="116"/>
      <c r="BH26" s="116"/>
      <c r="BI26" s="116"/>
    </row>
    <row r="27" ht="15.75" customHeight="1">
      <c r="A27" s="112"/>
      <c r="B27" s="38" t="s">
        <v>65</v>
      </c>
      <c r="C27" s="218">
        <v>1101.0</v>
      </c>
      <c r="D27" s="218">
        <v>4856.0</v>
      </c>
      <c r="E27" s="218">
        <v>185.0</v>
      </c>
      <c r="F27" s="236"/>
      <c r="G27" s="241">
        <v>641.0</v>
      </c>
      <c r="H27" s="218">
        <v>758.0</v>
      </c>
      <c r="I27" s="218">
        <v>102.0</v>
      </c>
      <c r="J27" s="218">
        <v>30.0</v>
      </c>
      <c r="K27" s="218">
        <v>3.0</v>
      </c>
      <c r="L27" s="218">
        <v>52570.0</v>
      </c>
      <c r="M27" s="218">
        <v>31536.0</v>
      </c>
      <c r="N27" s="218">
        <v>710.0</v>
      </c>
      <c r="O27" s="218">
        <v>1636.0</v>
      </c>
      <c r="P27" s="218">
        <v>12828.0</v>
      </c>
      <c r="Q27" s="218">
        <v>233.0</v>
      </c>
      <c r="R27" s="218">
        <v>2.0</v>
      </c>
      <c r="S27" s="218">
        <v>100.0</v>
      </c>
      <c r="T27" s="130">
        <f t="shared" si="5"/>
        <v>6783</v>
      </c>
      <c r="U27" s="130">
        <f t="shared" si="6"/>
        <v>893</v>
      </c>
      <c r="V27" s="130">
        <f t="shared" si="7"/>
        <v>84106</v>
      </c>
      <c r="W27" s="130">
        <f t="shared" si="8"/>
        <v>15509</v>
      </c>
      <c r="X27" s="116">
        <f t="shared" si="9"/>
        <v>0.1118999373</v>
      </c>
      <c r="Y27" s="116">
        <f t="shared" si="10"/>
        <v>0.8881000627</v>
      </c>
      <c r="Z27" s="114">
        <f t="shared" ref="Z27:Z35" si="21">SUM(C27:K27)</f>
        <v>7676</v>
      </c>
      <c r="AA27" s="114">
        <f t="shared" ref="AA27:AA35" si="22">((L27+M27)-(SUM(N27:S27)))</f>
        <v>68597</v>
      </c>
      <c r="AB27" s="115">
        <f t="shared" ref="AB27:AB35" si="23">Z27/AA27</f>
        <v>0.1118999373</v>
      </c>
      <c r="AC27" s="115">
        <f t="shared" ref="AC27:AC35" si="24">100%-AB27</f>
        <v>0.8881000627</v>
      </c>
      <c r="AD27" s="116"/>
      <c r="AE27" s="116"/>
      <c r="AF27" s="117"/>
      <c r="AG27" s="118" t="s">
        <v>65</v>
      </c>
      <c r="AH27" s="119">
        <v>567.0</v>
      </c>
      <c r="AI27" s="119">
        <v>889.0</v>
      </c>
      <c r="AJ27" s="119">
        <v>4085.0</v>
      </c>
      <c r="AK27" s="120">
        <v>6.0</v>
      </c>
      <c r="AL27" s="119">
        <v>331.0</v>
      </c>
      <c r="AM27" s="119">
        <v>412.0</v>
      </c>
      <c r="AN27" s="119">
        <v>17.0</v>
      </c>
      <c r="AO27" s="121">
        <v>60891.0</v>
      </c>
      <c r="AP27" s="131">
        <v>17304.0</v>
      </c>
      <c r="AQ27" s="119">
        <v>1292.0</v>
      </c>
      <c r="AR27" s="119">
        <v>1449.0</v>
      </c>
      <c r="AS27" s="119">
        <v>18492.0</v>
      </c>
      <c r="AT27" s="119">
        <v>62.0</v>
      </c>
      <c r="AU27" s="119">
        <v>17.0</v>
      </c>
      <c r="AV27" s="119">
        <v>62.0</v>
      </c>
      <c r="AW27" s="120">
        <v>889.0</v>
      </c>
      <c r="AX27" s="120">
        <v>5973.0</v>
      </c>
      <c r="AY27" s="120">
        <v>47301.0</v>
      </c>
      <c r="AZ27" s="123">
        <v>0.12627640007610832</v>
      </c>
      <c r="BA27" s="123">
        <v>0.8737235999238917</v>
      </c>
      <c r="BB27" s="116"/>
      <c r="BC27" s="116"/>
      <c r="BD27" s="116"/>
      <c r="BE27" s="116"/>
      <c r="BF27" s="116"/>
      <c r="BG27" s="116"/>
      <c r="BH27" s="116"/>
      <c r="BI27" s="116"/>
    </row>
    <row r="28" ht="15.75" customHeight="1">
      <c r="A28" s="112"/>
      <c r="B28" s="38" t="s">
        <v>66</v>
      </c>
      <c r="C28" s="218">
        <v>116.0</v>
      </c>
      <c r="D28" s="218">
        <v>2747.0</v>
      </c>
      <c r="E28" s="218">
        <v>0.0</v>
      </c>
      <c r="F28" s="236"/>
      <c r="G28" s="241">
        <v>17.0</v>
      </c>
      <c r="H28" s="218">
        <v>53.0</v>
      </c>
      <c r="I28" s="218">
        <v>44.0</v>
      </c>
      <c r="J28" s="218">
        <v>34.0</v>
      </c>
      <c r="K28" s="218">
        <v>0.0</v>
      </c>
      <c r="L28" s="218">
        <v>47753.0</v>
      </c>
      <c r="M28" s="218">
        <v>38689.0</v>
      </c>
      <c r="N28" s="218">
        <v>67.0</v>
      </c>
      <c r="O28" s="218">
        <v>633.0</v>
      </c>
      <c r="P28" s="218">
        <v>1461.0</v>
      </c>
      <c r="Q28" s="218">
        <v>8.0</v>
      </c>
      <c r="R28" s="218">
        <v>0.0</v>
      </c>
      <c r="S28" s="218">
        <v>0.0</v>
      </c>
      <c r="T28" s="130">
        <f t="shared" si="5"/>
        <v>2880</v>
      </c>
      <c r="U28" s="130">
        <f t="shared" si="6"/>
        <v>131</v>
      </c>
      <c r="V28" s="130">
        <f t="shared" si="7"/>
        <v>86442</v>
      </c>
      <c r="W28" s="130">
        <f t="shared" si="8"/>
        <v>2169</v>
      </c>
      <c r="X28" s="116">
        <f t="shared" si="9"/>
        <v>0.03572911846</v>
      </c>
      <c r="Y28" s="116">
        <f t="shared" si="10"/>
        <v>0.9642708815</v>
      </c>
      <c r="Z28" s="114">
        <f t="shared" si="21"/>
        <v>3011</v>
      </c>
      <c r="AA28" s="114">
        <f t="shared" si="22"/>
        <v>84273</v>
      </c>
      <c r="AB28" s="115">
        <f t="shared" si="23"/>
        <v>0.03572911846</v>
      </c>
      <c r="AC28" s="115">
        <f t="shared" si="24"/>
        <v>0.9642708815</v>
      </c>
      <c r="AD28" s="116"/>
      <c r="AE28" s="116"/>
      <c r="AF28" s="117"/>
      <c r="AG28" s="118" t="s">
        <v>66</v>
      </c>
      <c r="AH28" s="119">
        <v>85.0</v>
      </c>
      <c r="AI28" s="119">
        <v>231.0</v>
      </c>
      <c r="AJ28" s="119">
        <v>1566.0</v>
      </c>
      <c r="AK28" s="120">
        <v>0.0</v>
      </c>
      <c r="AL28" s="119">
        <v>3.0</v>
      </c>
      <c r="AM28" s="119">
        <v>12.0</v>
      </c>
      <c r="AN28" s="119">
        <v>11.0</v>
      </c>
      <c r="AO28" s="121">
        <v>52006.0</v>
      </c>
      <c r="AP28" s="131">
        <v>26176.0</v>
      </c>
      <c r="AQ28" s="119">
        <v>60.0</v>
      </c>
      <c r="AR28" s="119">
        <v>160.0</v>
      </c>
      <c r="AS28" s="119">
        <v>1140.0</v>
      </c>
      <c r="AT28" s="119">
        <v>5.0</v>
      </c>
      <c r="AU28" s="119">
        <v>9.0</v>
      </c>
      <c r="AV28" s="119">
        <v>5.0</v>
      </c>
      <c r="AW28" s="120">
        <v>231.0</v>
      </c>
      <c r="AX28" s="120">
        <v>1474.0</v>
      </c>
      <c r="AY28" s="120">
        <v>48777.0</v>
      </c>
      <c r="AZ28" s="123">
        <v>0.030219160669987904</v>
      </c>
      <c r="BA28" s="123">
        <v>0.9697808393300121</v>
      </c>
      <c r="BB28" s="116"/>
      <c r="BC28" s="116"/>
      <c r="BD28" s="116"/>
      <c r="BE28" s="116"/>
      <c r="BF28" s="116"/>
      <c r="BG28" s="116"/>
      <c r="BH28" s="116"/>
      <c r="BI28" s="116"/>
    </row>
    <row r="29" ht="15.75" customHeight="1">
      <c r="A29" s="112"/>
      <c r="B29" s="38" t="s">
        <v>67</v>
      </c>
      <c r="C29" s="218">
        <v>110.0</v>
      </c>
      <c r="D29" s="218">
        <v>2053.0</v>
      </c>
      <c r="E29" s="218">
        <v>1.0</v>
      </c>
      <c r="F29" s="236"/>
      <c r="G29" s="241">
        <v>0.0</v>
      </c>
      <c r="H29" s="218">
        <v>4.0</v>
      </c>
      <c r="I29" s="218">
        <v>8.0</v>
      </c>
      <c r="J29" s="218">
        <v>0.0</v>
      </c>
      <c r="K29" s="218">
        <v>0.0</v>
      </c>
      <c r="L29" s="218">
        <v>50702.0</v>
      </c>
      <c r="M29" s="218">
        <v>31148.0</v>
      </c>
      <c r="N29" s="218">
        <v>342.0</v>
      </c>
      <c r="O29" s="218">
        <v>82.0</v>
      </c>
      <c r="P29" s="218">
        <v>8310.0</v>
      </c>
      <c r="Q29" s="218">
        <v>122.0</v>
      </c>
      <c r="R29" s="218">
        <v>3.0</v>
      </c>
      <c r="S29" s="218">
        <v>10.0</v>
      </c>
      <c r="T29" s="130">
        <f t="shared" si="5"/>
        <v>2164</v>
      </c>
      <c r="U29" s="130">
        <f t="shared" si="6"/>
        <v>12</v>
      </c>
      <c r="V29" s="130">
        <f t="shared" si="7"/>
        <v>81850</v>
      </c>
      <c r="W29" s="130">
        <f t="shared" si="8"/>
        <v>8869</v>
      </c>
      <c r="X29" s="116">
        <f t="shared" si="9"/>
        <v>0.0298159795</v>
      </c>
      <c r="Y29" s="116">
        <f t="shared" si="10"/>
        <v>0.9701840205</v>
      </c>
      <c r="Z29" s="114">
        <f t="shared" si="21"/>
        <v>2176</v>
      </c>
      <c r="AA29" s="114">
        <f t="shared" si="22"/>
        <v>72981</v>
      </c>
      <c r="AB29" s="115">
        <f t="shared" si="23"/>
        <v>0.0298159795</v>
      </c>
      <c r="AC29" s="115">
        <f t="shared" si="24"/>
        <v>0.9701840205</v>
      </c>
      <c r="AD29" s="116"/>
      <c r="AE29" s="116"/>
      <c r="AF29" s="117"/>
      <c r="AG29" s="118" t="s">
        <v>67</v>
      </c>
      <c r="AH29" s="119">
        <v>194.0</v>
      </c>
      <c r="AI29" s="119">
        <v>447.0</v>
      </c>
      <c r="AJ29" s="119">
        <v>540.0</v>
      </c>
      <c r="AK29" s="120">
        <v>7.0</v>
      </c>
      <c r="AL29" s="119">
        <v>545.0</v>
      </c>
      <c r="AM29" s="119">
        <v>32.0</v>
      </c>
      <c r="AN29" s="119">
        <v>0.0</v>
      </c>
      <c r="AO29" s="121">
        <v>59282.0</v>
      </c>
      <c r="AP29" s="131">
        <v>37235.0</v>
      </c>
      <c r="AQ29" s="119">
        <v>178.0</v>
      </c>
      <c r="AR29" s="119">
        <v>1149.0</v>
      </c>
      <c r="AS29" s="119">
        <v>4139.0</v>
      </c>
      <c r="AT29" s="119">
        <v>54.0</v>
      </c>
      <c r="AU29" s="119">
        <v>0.0</v>
      </c>
      <c r="AV29" s="119">
        <v>54.0</v>
      </c>
      <c r="AW29" s="120">
        <v>447.0</v>
      </c>
      <c r="AX29" s="120">
        <v>2703.0</v>
      </c>
      <c r="AY29" s="120">
        <v>77085.0</v>
      </c>
      <c r="AZ29" s="123">
        <v>0.03506518777972368</v>
      </c>
      <c r="BA29" s="123">
        <v>0.9649348122202763</v>
      </c>
      <c r="BB29" s="116"/>
      <c r="BC29" s="116"/>
      <c r="BD29" s="116"/>
      <c r="BE29" s="116"/>
      <c r="BF29" s="116"/>
      <c r="BG29" s="116"/>
      <c r="BH29" s="116"/>
      <c r="BI29" s="116"/>
    </row>
    <row r="30" ht="15.75" customHeight="1">
      <c r="A30" s="112"/>
      <c r="B30" s="38" t="s">
        <v>68</v>
      </c>
      <c r="C30" s="218">
        <v>0.0</v>
      </c>
      <c r="D30" s="218">
        <v>3049.0</v>
      </c>
      <c r="E30" s="218">
        <v>0.0</v>
      </c>
      <c r="F30" s="236"/>
      <c r="G30" s="241">
        <v>0.0</v>
      </c>
      <c r="H30" s="218">
        <v>512.0</v>
      </c>
      <c r="I30" s="218">
        <v>0.0</v>
      </c>
      <c r="J30" s="218">
        <v>0.0</v>
      </c>
      <c r="K30" s="218">
        <v>0.0</v>
      </c>
      <c r="L30" s="218">
        <v>25708.0</v>
      </c>
      <c r="M30" s="218">
        <v>52700.0</v>
      </c>
      <c r="N30" s="218">
        <v>38.0</v>
      </c>
      <c r="O30" s="218">
        <v>509.0</v>
      </c>
      <c r="P30" s="218">
        <v>5720.0</v>
      </c>
      <c r="Q30" s="218">
        <v>258.0</v>
      </c>
      <c r="R30" s="218">
        <v>0.0</v>
      </c>
      <c r="S30" s="218">
        <v>0.0</v>
      </c>
      <c r="T30" s="130">
        <f t="shared" si="5"/>
        <v>3049</v>
      </c>
      <c r="U30" s="130">
        <f t="shared" si="6"/>
        <v>512</v>
      </c>
      <c r="V30" s="130">
        <f t="shared" si="7"/>
        <v>78408</v>
      </c>
      <c r="W30" s="130">
        <f t="shared" si="8"/>
        <v>6525</v>
      </c>
      <c r="X30" s="116">
        <f t="shared" si="9"/>
        <v>0.04953883394</v>
      </c>
      <c r="Y30" s="116">
        <f t="shared" si="10"/>
        <v>0.9504611661</v>
      </c>
      <c r="Z30" s="114">
        <f t="shared" si="21"/>
        <v>3561</v>
      </c>
      <c r="AA30" s="114">
        <f t="shared" si="22"/>
        <v>71883</v>
      </c>
      <c r="AB30" s="115">
        <f t="shared" si="23"/>
        <v>0.04953883394</v>
      </c>
      <c r="AC30" s="115">
        <f t="shared" si="24"/>
        <v>0.9504611661</v>
      </c>
      <c r="AD30" s="116"/>
      <c r="AE30" s="116"/>
      <c r="AF30" s="117"/>
      <c r="AG30" s="118" t="s">
        <v>68</v>
      </c>
      <c r="AH30" s="119">
        <v>1.0</v>
      </c>
      <c r="AI30" s="119">
        <v>0.0</v>
      </c>
      <c r="AJ30" s="119">
        <v>2866.0</v>
      </c>
      <c r="AK30" s="120">
        <v>40.0</v>
      </c>
      <c r="AL30" s="119">
        <v>63.0</v>
      </c>
      <c r="AM30" s="119">
        <v>39.0</v>
      </c>
      <c r="AN30" s="119">
        <v>1.0</v>
      </c>
      <c r="AO30" s="121">
        <v>29224.0</v>
      </c>
      <c r="AP30" s="131">
        <v>16057.0</v>
      </c>
      <c r="AQ30" s="119">
        <v>13.0</v>
      </c>
      <c r="AR30" s="119">
        <v>292.0</v>
      </c>
      <c r="AS30" s="119">
        <v>4600.0</v>
      </c>
      <c r="AT30" s="119">
        <v>99.0</v>
      </c>
      <c r="AU30" s="119">
        <v>0.0</v>
      </c>
      <c r="AV30" s="119">
        <v>99.0</v>
      </c>
      <c r="AW30" s="120">
        <v>0.0</v>
      </c>
      <c r="AX30" s="120">
        <v>5205.0</v>
      </c>
      <c r="AY30" s="120">
        <v>105582.0</v>
      </c>
      <c r="AZ30" s="123">
        <v>0.04929817582542479</v>
      </c>
      <c r="BA30" s="123">
        <v>0.9507018241745752</v>
      </c>
      <c r="BB30" s="116"/>
      <c r="BC30" s="116"/>
      <c r="BD30" s="116"/>
      <c r="BE30" s="116"/>
      <c r="BF30" s="116"/>
      <c r="BG30" s="116"/>
      <c r="BH30" s="116"/>
      <c r="BI30" s="116"/>
    </row>
    <row r="31" ht="15.75" customHeight="1">
      <c r="A31" s="179"/>
      <c r="B31" s="204" t="s">
        <v>69</v>
      </c>
      <c r="C31" s="225">
        <v>0.0</v>
      </c>
      <c r="D31" s="225">
        <v>4623.0</v>
      </c>
      <c r="E31" s="225"/>
      <c r="F31" s="225"/>
      <c r="G31" s="257">
        <v>0.0</v>
      </c>
      <c r="H31" s="225">
        <v>3275.0</v>
      </c>
      <c r="I31" s="225">
        <v>25.0</v>
      </c>
      <c r="J31" s="225">
        <v>1.0</v>
      </c>
      <c r="K31" s="225">
        <v>0.0</v>
      </c>
      <c r="L31" s="225">
        <v>35163.0</v>
      </c>
      <c r="M31" s="225"/>
      <c r="N31" s="225">
        <v>3.0</v>
      </c>
      <c r="O31" s="225">
        <v>15.0</v>
      </c>
      <c r="P31" s="225">
        <v>7269.0</v>
      </c>
      <c r="Q31" s="225">
        <v>159.0</v>
      </c>
      <c r="R31" s="225"/>
      <c r="S31" s="225"/>
      <c r="T31" s="258">
        <f t="shared" si="5"/>
        <v>4623</v>
      </c>
      <c r="U31" s="258">
        <f t="shared" si="6"/>
        <v>3301</v>
      </c>
      <c r="V31" s="258">
        <f t="shared" si="7"/>
        <v>35163</v>
      </c>
      <c r="W31" s="258">
        <f t="shared" si="8"/>
        <v>7446</v>
      </c>
      <c r="X31" s="259">
        <f t="shared" si="9"/>
        <v>0.2858895263</v>
      </c>
      <c r="Y31" s="259">
        <f t="shared" si="10"/>
        <v>0.7141104737</v>
      </c>
      <c r="Z31" s="114">
        <f t="shared" si="21"/>
        <v>7924</v>
      </c>
      <c r="AA31" s="114">
        <f t="shared" si="22"/>
        <v>27717</v>
      </c>
      <c r="AB31" s="115">
        <f t="shared" si="23"/>
        <v>0.2858895263</v>
      </c>
      <c r="AC31" s="115">
        <f t="shared" si="24"/>
        <v>0.7141104737</v>
      </c>
      <c r="AD31" s="116"/>
      <c r="AE31" s="116"/>
      <c r="AF31" s="117"/>
      <c r="AG31" s="118" t="s">
        <v>69</v>
      </c>
      <c r="AH31" s="119">
        <v>0.0</v>
      </c>
      <c r="AI31" s="119">
        <v>0.0</v>
      </c>
      <c r="AJ31" s="119">
        <v>3889.0</v>
      </c>
      <c r="AK31" s="120">
        <v>317.0</v>
      </c>
      <c r="AL31" s="119">
        <v>31.0</v>
      </c>
      <c r="AM31" s="119">
        <v>1037.0</v>
      </c>
      <c r="AN31" s="119">
        <v>18.0</v>
      </c>
      <c r="AO31" s="121">
        <v>37098.0</v>
      </c>
      <c r="AP31" s="131">
        <v>23866.0</v>
      </c>
      <c r="AQ31" s="119">
        <v>0.0</v>
      </c>
      <c r="AR31" s="119">
        <v>39.0</v>
      </c>
      <c r="AS31" s="119">
        <v>522.0</v>
      </c>
      <c r="AT31" s="119">
        <v>59.0</v>
      </c>
      <c r="AU31" s="119">
        <v>243.0</v>
      </c>
      <c r="AV31" s="119">
        <v>59.0</v>
      </c>
      <c r="AW31" s="120">
        <v>0.0</v>
      </c>
      <c r="AX31" s="120">
        <v>2144.0</v>
      </c>
      <c r="AY31" s="120">
        <v>34252.0</v>
      </c>
      <c r="AZ31" s="123">
        <v>0.06259488497022071</v>
      </c>
      <c r="BA31" s="123">
        <v>0.9374051150297793</v>
      </c>
      <c r="BB31" s="116"/>
      <c r="BC31" s="116"/>
      <c r="BD31" s="116"/>
      <c r="BE31" s="116"/>
      <c r="BF31" s="116"/>
      <c r="BG31" s="116"/>
      <c r="BH31" s="116"/>
      <c r="BI31" s="116"/>
    </row>
    <row r="32" ht="15.75" customHeight="1">
      <c r="A32" s="179"/>
      <c r="B32" s="38" t="s">
        <v>70</v>
      </c>
      <c r="C32" s="218">
        <v>17.0</v>
      </c>
      <c r="D32" s="218">
        <v>2451.0</v>
      </c>
      <c r="E32" s="218">
        <v>0.0</v>
      </c>
      <c r="F32" s="236"/>
      <c r="G32" s="241">
        <v>265.0</v>
      </c>
      <c r="H32" s="218">
        <v>0.0</v>
      </c>
      <c r="I32" s="218">
        <v>213.0</v>
      </c>
      <c r="J32" s="218">
        <v>24.0</v>
      </c>
      <c r="K32" s="218">
        <v>1.0</v>
      </c>
      <c r="L32" s="218">
        <v>43548.0</v>
      </c>
      <c r="M32" s="218">
        <v>23122.0</v>
      </c>
      <c r="N32" s="218">
        <v>3228.0</v>
      </c>
      <c r="O32" s="218">
        <v>115.0</v>
      </c>
      <c r="P32" s="218">
        <v>1857.0</v>
      </c>
      <c r="Q32" s="218">
        <v>3.0</v>
      </c>
      <c r="R32" s="218">
        <v>0.0</v>
      </c>
      <c r="S32" s="218">
        <v>1.0</v>
      </c>
      <c r="T32" s="130">
        <f t="shared" si="5"/>
        <v>2733</v>
      </c>
      <c r="U32" s="130">
        <f t="shared" si="6"/>
        <v>238</v>
      </c>
      <c r="V32" s="130">
        <f t="shared" si="7"/>
        <v>66670</v>
      </c>
      <c r="W32" s="130">
        <f t="shared" si="8"/>
        <v>5204</v>
      </c>
      <c r="X32" s="116">
        <f t="shared" si="9"/>
        <v>0.04833566525</v>
      </c>
      <c r="Y32" s="116">
        <f t="shared" si="10"/>
        <v>0.9516643348</v>
      </c>
      <c r="Z32" s="114">
        <f t="shared" si="21"/>
        <v>2971</v>
      </c>
      <c r="AA32" s="114">
        <f t="shared" si="22"/>
        <v>61466</v>
      </c>
      <c r="AB32" s="115">
        <f t="shared" si="23"/>
        <v>0.04833566525</v>
      </c>
      <c r="AC32" s="115">
        <f t="shared" si="24"/>
        <v>0.9516643348</v>
      </c>
      <c r="AD32" s="116"/>
      <c r="AE32" s="116"/>
      <c r="AF32" s="117"/>
      <c r="AG32" s="118" t="s">
        <v>70</v>
      </c>
      <c r="AH32" s="119">
        <v>0.0</v>
      </c>
      <c r="AI32" s="119">
        <v>6.0</v>
      </c>
      <c r="AJ32" s="119">
        <v>1392.0</v>
      </c>
      <c r="AK32" s="120">
        <v>13.0</v>
      </c>
      <c r="AL32" s="119">
        <v>268.0</v>
      </c>
      <c r="AM32" s="119">
        <v>117.0</v>
      </c>
      <c r="AN32" s="119">
        <v>38.0</v>
      </c>
      <c r="AO32" s="121">
        <v>40789.0</v>
      </c>
      <c r="AP32" s="131">
        <v>26221.0</v>
      </c>
      <c r="AQ32" s="119">
        <v>2645.0</v>
      </c>
      <c r="AR32" s="119">
        <v>201.0</v>
      </c>
      <c r="AS32" s="119">
        <v>173.0</v>
      </c>
      <c r="AT32" s="119">
        <v>3.0</v>
      </c>
      <c r="AU32" s="119">
        <v>4.0</v>
      </c>
      <c r="AV32" s="119">
        <v>3.0</v>
      </c>
      <c r="AW32" s="120">
        <v>6.0</v>
      </c>
      <c r="AX32" s="120">
        <v>6745.0</v>
      </c>
      <c r="AY32" s="120">
        <v>118952.0</v>
      </c>
      <c r="AZ32" s="123">
        <v>0.056703544286771136</v>
      </c>
      <c r="BA32" s="123">
        <v>0.9432964557132288</v>
      </c>
      <c r="BB32" s="116"/>
      <c r="BC32" s="116"/>
      <c r="BD32" s="116"/>
      <c r="BE32" s="116"/>
      <c r="BF32" s="116"/>
      <c r="BG32" s="116"/>
      <c r="BH32" s="116"/>
      <c r="BI32" s="116"/>
    </row>
    <row r="33" ht="15.75" customHeight="1">
      <c r="A33" s="112"/>
      <c r="B33" s="38" t="s">
        <v>71</v>
      </c>
      <c r="C33" s="218">
        <v>0.0</v>
      </c>
      <c r="D33" s="218">
        <v>2428.0</v>
      </c>
      <c r="E33" s="218"/>
      <c r="F33" s="236"/>
      <c r="G33" s="241">
        <v>37.0</v>
      </c>
      <c r="H33" s="218">
        <v>130.0</v>
      </c>
      <c r="I33" s="218">
        <v>150.0</v>
      </c>
      <c r="J33" s="218">
        <v>71.0</v>
      </c>
      <c r="K33" s="218">
        <v>0.0</v>
      </c>
      <c r="L33" s="218">
        <v>36284.0</v>
      </c>
      <c r="M33" s="218">
        <v>23718.0</v>
      </c>
      <c r="N33" s="218">
        <v>140.0</v>
      </c>
      <c r="O33" s="218">
        <v>771.0</v>
      </c>
      <c r="P33" s="218">
        <v>236.0</v>
      </c>
      <c r="Q33" s="218">
        <v>76.0</v>
      </c>
      <c r="R33" s="218"/>
      <c r="S33" s="218"/>
      <c r="T33" s="130">
        <f t="shared" si="5"/>
        <v>2465</v>
      </c>
      <c r="U33" s="130">
        <f t="shared" si="6"/>
        <v>351</v>
      </c>
      <c r="V33" s="130">
        <f t="shared" si="7"/>
        <v>60002</v>
      </c>
      <c r="W33" s="130">
        <f t="shared" si="8"/>
        <v>1223</v>
      </c>
      <c r="X33" s="116">
        <f t="shared" si="9"/>
        <v>0.04790826656</v>
      </c>
      <c r="Y33" s="116">
        <f t="shared" si="10"/>
        <v>0.9520917334</v>
      </c>
      <c r="Z33" s="114">
        <f t="shared" si="21"/>
        <v>2816</v>
      </c>
      <c r="AA33" s="114">
        <f t="shared" si="22"/>
        <v>58779</v>
      </c>
      <c r="AB33" s="115">
        <f t="shared" si="23"/>
        <v>0.04790826656</v>
      </c>
      <c r="AC33" s="115">
        <f t="shared" si="24"/>
        <v>0.9520917334</v>
      </c>
      <c r="AD33" s="116"/>
      <c r="AE33" s="116"/>
      <c r="AF33" s="117"/>
      <c r="AG33" s="118" t="s">
        <v>71</v>
      </c>
      <c r="AH33" s="119">
        <v>0.0</v>
      </c>
      <c r="AI33" s="119">
        <v>0.0</v>
      </c>
      <c r="AJ33" s="119">
        <v>1080.0</v>
      </c>
      <c r="AK33" s="120">
        <v>0.0</v>
      </c>
      <c r="AL33" s="119">
        <v>0.0</v>
      </c>
      <c r="AM33" s="119">
        <v>186.0</v>
      </c>
      <c r="AN33" s="119">
        <v>314.0</v>
      </c>
      <c r="AO33" s="121">
        <v>41629.0</v>
      </c>
      <c r="AP33" s="131">
        <v>29470.0</v>
      </c>
      <c r="AQ33" s="119">
        <v>71.0</v>
      </c>
      <c r="AR33" s="119">
        <v>752.0</v>
      </c>
      <c r="AS33" s="119">
        <v>280.0</v>
      </c>
      <c r="AT33" s="119">
        <v>0.0</v>
      </c>
      <c r="AU33" s="119">
        <v>0.0</v>
      </c>
      <c r="AV33" s="119">
        <v>0.0</v>
      </c>
      <c r="AW33" s="120">
        <v>0.0</v>
      </c>
      <c r="AX33" s="120">
        <v>6070.0</v>
      </c>
      <c r="AY33" s="120">
        <v>67671.0</v>
      </c>
      <c r="AZ33" s="123">
        <v>0.08969868924650146</v>
      </c>
      <c r="BA33" s="123">
        <v>0.9103013107534985</v>
      </c>
      <c r="BB33" s="116"/>
      <c r="BC33" s="116"/>
      <c r="BD33" s="116"/>
      <c r="BE33" s="116"/>
      <c r="BF33" s="116"/>
      <c r="BG33" s="116"/>
      <c r="BH33" s="116"/>
      <c r="BI33" s="116"/>
    </row>
    <row r="34" ht="15.75" customHeight="1">
      <c r="A34" s="179"/>
      <c r="B34" s="38" t="s">
        <v>72</v>
      </c>
      <c r="C34" s="218">
        <v>0.0</v>
      </c>
      <c r="D34" s="218">
        <v>720.0</v>
      </c>
      <c r="E34" s="218">
        <v>0.0</v>
      </c>
      <c r="F34" s="236"/>
      <c r="G34" s="241">
        <v>54.0</v>
      </c>
      <c r="H34" s="218">
        <v>10.0</v>
      </c>
      <c r="I34" s="218">
        <v>1.0</v>
      </c>
      <c r="J34" s="218">
        <v>0.0</v>
      </c>
      <c r="K34" s="218">
        <v>0.0</v>
      </c>
      <c r="L34" s="218">
        <v>4481.0</v>
      </c>
      <c r="M34" s="218">
        <v>4080.0</v>
      </c>
      <c r="N34" s="218">
        <v>9.0</v>
      </c>
      <c r="O34" s="218">
        <v>77.0</v>
      </c>
      <c r="P34" s="218">
        <v>204.0</v>
      </c>
      <c r="Q34" s="218">
        <v>8.0</v>
      </c>
      <c r="R34" s="218">
        <v>0.0</v>
      </c>
      <c r="S34" s="218">
        <v>0.0</v>
      </c>
      <c r="T34" s="130">
        <f t="shared" si="5"/>
        <v>774</v>
      </c>
      <c r="U34" s="130">
        <f t="shared" si="6"/>
        <v>11</v>
      </c>
      <c r="V34" s="130">
        <f t="shared" si="7"/>
        <v>8561</v>
      </c>
      <c r="W34" s="130">
        <f t="shared" si="8"/>
        <v>298</v>
      </c>
      <c r="X34" s="116">
        <f t="shared" si="9"/>
        <v>0.09500181532</v>
      </c>
      <c r="Y34" s="116">
        <f t="shared" si="10"/>
        <v>0.9049981847</v>
      </c>
      <c r="Z34" s="114">
        <f t="shared" si="21"/>
        <v>785</v>
      </c>
      <c r="AA34" s="114">
        <f t="shared" si="22"/>
        <v>8263</v>
      </c>
      <c r="AB34" s="115">
        <f t="shared" si="23"/>
        <v>0.09500181532</v>
      </c>
      <c r="AC34" s="115">
        <f t="shared" si="24"/>
        <v>0.9049981847</v>
      </c>
      <c r="AD34" s="116"/>
      <c r="AE34" s="116"/>
      <c r="AF34" s="117"/>
      <c r="AG34" s="118" t="s">
        <v>72</v>
      </c>
      <c r="AH34" s="119">
        <v>0.0</v>
      </c>
      <c r="AI34" s="119">
        <v>0.0</v>
      </c>
      <c r="AJ34" s="119">
        <v>6.0</v>
      </c>
      <c r="AK34" s="120">
        <v>0.0</v>
      </c>
      <c r="AL34" s="119">
        <v>15.0</v>
      </c>
      <c r="AM34" s="119">
        <v>8.0</v>
      </c>
      <c r="AN34" s="119">
        <v>3.0</v>
      </c>
      <c r="AO34" s="121">
        <v>3882.0</v>
      </c>
      <c r="AP34" s="131">
        <v>3706.0</v>
      </c>
      <c r="AQ34" s="119">
        <v>7.0</v>
      </c>
      <c r="AR34" s="119">
        <v>72.0</v>
      </c>
      <c r="AS34" s="119">
        <v>0.0</v>
      </c>
      <c r="AT34" s="119">
        <v>23.0</v>
      </c>
      <c r="AU34" s="119">
        <v>16.0</v>
      </c>
      <c r="AV34" s="119">
        <v>23.0</v>
      </c>
      <c r="AW34" s="120">
        <v>0.0</v>
      </c>
      <c r="AX34" s="120">
        <v>59.0</v>
      </c>
      <c r="AY34" s="120">
        <v>8028.0</v>
      </c>
      <c r="AZ34" s="123">
        <v>0.007349277528649726</v>
      </c>
      <c r="BA34" s="123">
        <v>0.9926507224713502</v>
      </c>
      <c r="BB34" s="116"/>
      <c r="BC34" s="116"/>
      <c r="BD34" s="116"/>
      <c r="BE34" s="116"/>
      <c r="BF34" s="116"/>
      <c r="BG34" s="116"/>
      <c r="BH34" s="116"/>
      <c r="BI34" s="116"/>
    </row>
    <row r="35" ht="15.75" customHeight="1">
      <c r="A35" s="112"/>
      <c r="B35" s="38" t="s">
        <v>73</v>
      </c>
      <c r="C35" s="218">
        <v>26.0</v>
      </c>
      <c r="D35" s="218">
        <v>9159.0</v>
      </c>
      <c r="E35" s="218">
        <v>70.0</v>
      </c>
      <c r="F35" s="236"/>
      <c r="G35" s="241">
        <v>53.0</v>
      </c>
      <c r="H35" s="218">
        <v>20.0</v>
      </c>
      <c r="I35" s="218">
        <v>43.0</v>
      </c>
      <c r="J35" s="218">
        <v>14.0</v>
      </c>
      <c r="K35" s="218">
        <v>0.0</v>
      </c>
      <c r="L35" s="218">
        <v>95615.0</v>
      </c>
      <c r="M35" s="218">
        <v>31458.0</v>
      </c>
      <c r="N35" s="218">
        <v>106.0</v>
      </c>
      <c r="O35" s="218">
        <v>8808.0</v>
      </c>
      <c r="P35" s="218">
        <v>7017.0</v>
      </c>
      <c r="Q35" s="218">
        <v>271.0</v>
      </c>
      <c r="R35" s="218">
        <v>3.0</v>
      </c>
      <c r="S35" s="218">
        <v>46.0</v>
      </c>
      <c r="T35" s="130">
        <f t="shared" si="5"/>
        <v>9308</v>
      </c>
      <c r="U35" s="130">
        <f t="shared" si="6"/>
        <v>77</v>
      </c>
      <c r="V35" s="130">
        <f t="shared" si="7"/>
        <v>127073</v>
      </c>
      <c r="W35" s="130">
        <f t="shared" si="8"/>
        <v>16251</v>
      </c>
      <c r="X35" s="116">
        <f t="shared" si="9"/>
        <v>0.08468535128</v>
      </c>
      <c r="Y35" s="116">
        <f t="shared" si="10"/>
        <v>0.9153146487</v>
      </c>
      <c r="Z35" s="114">
        <f t="shared" si="21"/>
        <v>9385</v>
      </c>
      <c r="AA35" s="114">
        <f t="shared" si="22"/>
        <v>110822</v>
      </c>
      <c r="AB35" s="115">
        <f t="shared" si="23"/>
        <v>0.08468535128</v>
      </c>
      <c r="AC35" s="115">
        <f t="shared" si="24"/>
        <v>0.9153146487</v>
      </c>
      <c r="AD35" s="116"/>
      <c r="AE35" s="116"/>
      <c r="AF35" s="117"/>
      <c r="AG35" s="118" t="s">
        <v>73</v>
      </c>
      <c r="AH35" s="119">
        <v>51.0</v>
      </c>
      <c r="AI35" s="119">
        <v>514.0</v>
      </c>
      <c r="AJ35" s="119">
        <v>5789.0</v>
      </c>
      <c r="AK35" s="120">
        <v>304.0</v>
      </c>
      <c r="AL35" s="119">
        <v>48.0</v>
      </c>
      <c r="AM35" s="119">
        <v>49.0</v>
      </c>
      <c r="AN35" s="119">
        <v>95.0</v>
      </c>
      <c r="AO35" s="121">
        <v>83575.0</v>
      </c>
      <c r="AP35" s="131">
        <v>25752.0</v>
      </c>
      <c r="AQ35" s="119">
        <v>101.0</v>
      </c>
      <c r="AR35" s="119">
        <v>7807.0</v>
      </c>
      <c r="AS35" s="119">
        <v>6126.0</v>
      </c>
      <c r="AT35" s="119">
        <v>102.0</v>
      </c>
      <c r="AU35" s="119">
        <v>292.0</v>
      </c>
      <c r="AV35" s="119">
        <v>102.0</v>
      </c>
      <c r="AW35" s="120">
        <v>514.0</v>
      </c>
      <c r="AX35" s="120">
        <v>2012.0</v>
      </c>
      <c r="AY35" s="120">
        <v>103148.0</v>
      </c>
      <c r="AZ35" s="123">
        <v>0.01950595261178113</v>
      </c>
      <c r="BA35" s="123">
        <v>0.9804940473882189</v>
      </c>
      <c r="BB35" s="116"/>
      <c r="BC35" s="116"/>
      <c r="BD35" s="116"/>
      <c r="BE35" s="116"/>
      <c r="BF35" s="116"/>
      <c r="BG35" s="116"/>
      <c r="BH35" s="116"/>
      <c r="BI35" s="116"/>
    </row>
    <row r="36" ht="15.75" customHeight="1">
      <c r="A36" s="260"/>
      <c r="B36" s="38" t="s">
        <v>74</v>
      </c>
      <c r="C36" s="218">
        <v>4.0</v>
      </c>
      <c r="D36" s="218">
        <v>2886.0</v>
      </c>
      <c r="E36" s="218">
        <v>4.0</v>
      </c>
      <c r="F36" s="236"/>
      <c r="G36" s="241">
        <v>0.0</v>
      </c>
      <c r="H36" s="218">
        <v>156.0</v>
      </c>
      <c r="I36" s="218">
        <v>89.0</v>
      </c>
      <c r="J36" s="218">
        <v>30.0</v>
      </c>
      <c r="K36" s="218">
        <v>2.0</v>
      </c>
      <c r="L36" s="218">
        <v>8565.0</v>
      </c>
      <c r="M36" s="218">
        <v>1185.0</v>
      </c>
      <c r="N36" s="218">
        <v>331.0</v>
      </c>
      <c r="O36" s="218">
        <v>301.0</v>
      </c>
      <c r="P36" s="218">
        <v>2111.0</v>
      </c>
      <c r="Q36" s="218">
        <v>41.0</v>
      </c>
      <c r="R36" s="218">
        <v>0.0</v>
      </c>
      <c r="S36" s="218">
        <v>0.0</v>
      </c>
      <c r="T36" s="130">
        <f t="shared" si="5"/>
        <v>2894</v>
      </c>
      <c r="U36" s="130">
        <f t="shared" si="6"/>
        <v>277</v>
      </c>
      <c r="V36" s="130">
        <f t="shared" si="7"/>
        <v>9750</v>
      </c>
      <c r="W36" s="130">
        <f t="shared" si="8"/>
        <v>2784</v>
      </c>
      <c r="X36" s="116">
        <f t="shared" si="9"/>
        <v>0.455211025</v>
      </c>
      <c r="Y36" s="116">
        <f t="shared" si="10"/>
        <v>0.544788975</v>
      </c>
      <c r="Z36" s="133"/>
      <c r="AA36" s="133"/>
      <c r="AB36" s="134"/>
      <c r="AC36" s="134"/>
      <c r="AD36" s="116"/>
      <c r="AE36" s="116"/>
      <c r="AF36" s="117"/>
      <c r="AG36" s="118" t="s">
        <v>74</v>
      </c>
      <c r="AH36" s="119">
        <v>1.0</v>
      </c>
      <c r="AI36" s="119">
        <v>15.0</v>
      </c>
      <c r="AJ36" s="119">
        <v>849.0</v>
      </c>
      <c r="AK36" s="120">
        <v>0.0</v>
      </c>
      <c r="AL36" s="119">
        <v>85.0</v>
      </c>
      <c r="AM36" s="119">
        <v>270.0</v>
      </c>
      <c r="AN36" s="119">
        <v>118.0</v>
      </c>
      <c r="AO36" s="146">
        <v>4283.0</v>
      </c>
      <c r="AP36" s="131">
        <v>1969.0</v>
      </c>
      <c r="AQ36" s="119">
        <v>90.0</v>
      </c>
      <c r="AR36" s="119">
        <v>19.0</v>
      </c>
      <c r="AS36" s="119">
        <v>494.0</v>
      </c>
      <c r="AT36" s="119">
        <v>379.0</v>
      </c>
      <c r="AU36" s="119">
        <v>344.0</v>
      </c>
      <c r="AV36" s="119">
        <v>379.0</v>
      </c>
      <c r="AW36" s="120">
        <v>15.0</v>
      </c>
      <c r="AX36" s="135"/>
      <c r="AY36" s="135"/>
      <c r="AZ36" s="136"/>
      <c r="BA36" s="136"/>
      <c r="BB36" s="116"/>
      <c r="BC36" s="116"/>
      <c r="BD36" s="116"/>
      <c r="BE36" s="116"/>
      <c r="BF36" s="116"/>
      <c r="BG36" s="116"/>
      <c r="BH36" s="116"/>
      <c r="BI36" s="116"/>
    </row>
    <row r="37" ht="15.75" customHeight="1">
      <c r="A37" s="260"/>
      <c r="B37" s="38" t="s">
        <v>75</v>
      </c>
      <c r="C37" s="231">
        <v>9.0</v>
      </c>
      <c r="D37" s="231">
        <v>2121.0</v>
      </c>
      <c r="E37" s="231">
        <v>7.0</v>
      </c>
      <c r="F37" s="261"/>
      <c r="G37" s="262">
        <v>0.0</v>
      </c>
      <c r="H37" s="218">
        <v>0.0</v>
      </c>
      <c r="I37" s="263">
        <v>464.0</v>
      </c>
      <c r="J37" s="263">
        <v>97.0</v>
      </c>
      <c r="K37" s="263">
        <v>0.0</v>
      </c>
      <c r="L37" s="231">
        <v>24884.0</v>
      </c>
      <c r="M37" s="263">
        <v>59582.0</v>
      </c>
      <c r="N37" s="231">
        <v>7442.0</v>
      </c>
      <c r="O37" s="231">
        <v>213.0</v>
      </c>
      <c r="P37" s="231">
        <v>0.0</v>
      </c>
      <c r="Q37" s="231">
        <v>722.0</v>
      </c>
      <c r="R37" s="231">
        <v>0.0</v>
      </c>
      <c r="S37" s="231">
        <v>57.0</v>
      </c>
      <c r="T37" s="130">
        <f t="shared" si="5"/>
        <v>2137</v>
      </c>
      <c r="U37" s="130">
        <f t="shared" si="6"/>
        <v>561</v>
      </c>
      <c r="V37" s="130">
        <f t="shared" si="7"/>
        <v>84466</v>
      </c>
      <c r="W37" s="130">
        <f t="shared" si="8"/>
        <v>8434</v>
      </c>
      <c r="X37" s="116">
        <f t="shared" si="9"/>
        <v>0.03548505892</v>
      </c>
      <c r="Y37" s="116">
        <f t="shared" si="10"/>
        <v>0.9645149411</v>
      </c>
      <c r="Z37" s="114">
        <f>SUM(C37:K37)</f>
        <v>2698</v>
      </c>
      <c r="AA37" s="114">
        <f>((L37+M37)-(SUM(N37:S37)))</f>
        <v>76032</v>
      </c>
      <c r="AB37" s="151">
        <f t="shared" ref="AB37:AB38" si="28">Z37/AA37</f>
        <v>0.03548505892</v>
      </c>
      <c r="AC37" s="151">
        <f t="shared" ref="AC37:AC38" si="29">100%-AB37</f>
        <v>0.9645149411</v>
      </c>
      <c r="AD37" s="116"/>
      <c r="AE37" s="116"/>
      <c r="AF37" s="117"/>
      <c r="AG37" s="118" t="s">
        <v>75</v>
      </c>
      <c r="AH37" s="119">
        <v>4.0</v>
      </c>
      <c r="AI37" s="119">
        <v>12.0</v>
      </c>
      <c r="AJ37" s="119">
        <v>1863.0</v>
      </c>
      <c r="AK37" s="120">
        <v>37.0</v>
      </c>
      <c r="AL37" s="119">
        <v>26.0</v>
      </c>
      <c r="AM37" s="119">
        <v>38.0</v>
      </c>
      <c r="AN37" s="119">
        <v>13.0</v>
      </c>
      <c r="AO37" s="146">
        <v>26665.0</v>
      </c>
      <c r="AP37" s="131">
        <v>15825.0</v>
      </c>
      <c r="AQ37" s="119">
        <v>2601.0</v>
      </c>
      <c r="AR37" s="119">
        <v>129.0</v>
      </c>
      <c r="AS37" s="119">
        <v>0.0</v>
      </c>
      <c r="AT37" s="119">
        <v>40.0</v>
      </c>
      <c r="AU37" s="119">
        <v>70.0</v>
      </c>
      <c r="AV37" s="119">
        <v>40.0</v>
      </c>
      <c r="AW37" s="120">
        <v>12.0</v>
      </c>
      <c r="AX37" s="120">
        <v>1251.0</v>
      </c>
      <c r="AY37" s="120">
        <v>56705.0</v>
      </c>
      <c r="AZ37" s="123">
        <v>0.02206154660082885</v>
      </c>
      <c r="BA37" s="123">
        <v>0.9779384533991712</v>
      </c>
      <c r="BB37" s="116"/>
      <c r="BC37" s="116"/>
      <c r="BD37" s="116"/>
      <c r="BE37" s="116"/>
      <c r="BF37" s="116"/>
      <c r="BG37" s="116"/>
      <c r="BH37" s="116"/>
      <c r="BI37" s="116"/>
    </row>
    <row r="38" ht="25.5" customHeight="1">
      <c r="A38" s="152"/>
      <c r="B38" s="264" t="s">
        <v>38</v>
      </c>
      <c r="C38" s="265">
        <f t="shared" ref="C38:G38" si="25">SUM(C6:C37)</f>
        <v>28588</v>
      </c>
      <c r="D38" s="265">
        <f t="shared" si="25"/>
        <v>122374</v>
      </c>
      <c r="E38" s="265">
        <f t="shared" si="25"/>
        <v>34210</v>
      </c>
      <c r="F38" s="265">
        <f t="shared" si="25"/>
        <v>0</v>
      </c>
      <c r="G38" s="265">
        <f t="shared" si="25"/>
        <v>9823</v>
      </c>
      <c r="H38" s="265">
        <f>SUM(H7:H37)</f>
        <v>20196</v>
      </c>
      <c r="I38" s="265">
        <f t="shared" ref="I38:W38" si="26">SUM(I6:I37)</f>
        <v>7399</v>
      </c>
      <c r="J38" s="265">
        <f t="shared" si="26"/>
        <v>1411</v>
      </c>
      <c r="K38" s="265">
        <f t="shared" si="26"/>
        <v>79</v>
      </c>
      <c r="L38" s="265">
        <f t="shared" si="26"/>
        <v>1961132</v>
      </c>
      <c r="M38" s="265">
        <f t="shared" si="26"/>
        <v>1460595</v>
      </c>
      <c r="N38" s="265">
        <f t="shared" si="26"/>
        <v>62374</v>
      </c>
      <c r="O38" s="265">
        <f t="shared" si="26"/>
        <v>66403</v>
      </c>
      <c r="P38" s="265">
        <f t="shared" si="26"/>
        <v>409426</v>
      </c>
      <c r="Q38" s="265">
        <f t="shared" si="26"/>
        <v>8064</v>
      </c>
      <c r="R38" s="265">
        <f t="shared" si="26"/>
        <v>43336</v>
      </c>
      <c r="S38" s="265">
        <f t="shared" si="26"/>
        <v>2578</v>
      </c>
      <c r="T38" s="155">
        <f t="shared" si="26"/>
        <v>194995</v>
      </c>
      <c r="U38" s="155">
        <f t="shared" si="26"/>
        <v>30096</v>
      </c>
      <c r="V38" s="155">
        <f t="shared" si="26"/>
        <v>3421727</v>
      </c>
      <c r="W38" s="155">
        <f t="shared" si="26"/>
        <v>592181</v>
      </c>
      <c r="X38" s="156">
        <f t="shared" si="9"/>
        <v>0.0795502176</v>
      </c>
      <c r="Y38" s="156">
        <f t="shared" si="10"/>
        <v>0.9204497824</v>
      </c>
      <c r="Z38" s="265">
        <f t="shared" ref="Z38:AA38" si="27">SUM(Z6:Z37)</f>
        <v>167989</v>
      </c>
      <c r="AA38" s="265">
        <f t="shared" si="27"/>
        <v>2373923</v>
      </c>
      <c r="AB38" s="266">
        <f t="shared" si="28"/>
        <v>0.07076430027</v>
      </c>
      <c r="AC38" s="267">
        <f t="shared" si="29"/>
        <v>0.9292356997</v>
      </c>
      <c r="AD38" s="158"/>
      <c r="AE38" s="158"/>
      <c r="AF38" s="159"/>
      <c r="AG38" s="160" t="s">
        <v>38</v>
      </c>
      <c r="AH38" s="154">
        <v>27858.0</v>
      </c>
      <c r="AI38" s="154">
        <v>19864.0</v>
      </c>
      <c r="AJ38" s="154">
        <v>86192.0</v>
      </c>
      <c r="AK38" s="154">
        <v>2167.0</v>
      </c>
      <c r="AL38" s="154">
        <v>8029.0</v>
      </c>
      <c r="AM38" s="154">
        <v>9161.0</v>
      </c>
      <c r="AN38" s="154">
        <v>2228.0</v>
      </c>
      <c r="AO38" s="161">
        <v>2139747.0</v>
      </c>
      <c r="AP38" s="154">
        <v>1176019.0</v>
      </c>
      <c r="AQ38" s="154">
        <v>29955.0</v>
      </c>
      <c r="AR38" s="154">
        <v>86911.0</v>
      </c>
      <c r="AS38" s="154">
        <v>202530.0</v>
      </c>
      <c r="AT38" s="154">
        <v>4449.0</v>
      </c>
      <c r="AU38" s="154">
        <v>4069.0</v>
      </c>
      <c r="AV38" s="154">
        <v>4449.0</v>
      </c>
      <c r="AW38" s="154">
        <v>19864.0</v>
      </c>
      <c r="AX38" s="135">
        <v>192716.0</v>
      </c>
      <c r="AY38" s="135">
        <v>4420325.0</v>
      </c>
      <c r="AZ38" s="136">
        <v>0.04359769926419437</v>
      </c>
      <c r="BA38" s="162">
        <v>0.9564023007358057</v>
      </c>
      <c r="BB38" s="158"/>
      <c r="BC38" s="158"/>
      <c r="BD38" s="158"/>
      <c r="BE38" s="158"/>
      <c r="BF38" s="158"/>
      <c r="BG38" s="158"/>
      <c r="BH38" s="158"/>
      <c r="BI38" s="158"/>
    </row>
    <row r="39" ht="15.75" customHeight="1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4"/>
      <c r="AU39" s="164"/>
      <c r="AV39" s="164"/>
      <c r="AW39" s="164"/>
      <c r="AX39" s="164"/>
      <c r="AY39" s="164"/>
      <c r="AZ39" s="164"/>
      <c r="BA39" s="164"/>
      <c r="BB39" s="164"/>
      <c r="BC39" s="164"/>
      <c r="BD39" s="164"/>
      <c r="BE39" s="164"/>
      <c r="BF39" s="164"/>
      <c r="BG39" s="164"/>
      <c r="BH39" s="164"/>
      <c r="BI39" s="164"/>
    </row>
    <row r="40" ht="15.75" customHeight="1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BB40" s="164"/>
      <c r="BC40" s="164"/>
      <c r="BD40" s="164"/>
      <c r="BE40" s="164"/>
      <c r="BF40" s="164"/>
      <c r="BG40" s="164"/>
      <c r="BH40" s="164"/>
      <c r="BI40" s="164"/>
    </row>
    <row r="41" ht="15.75" customHeight="1">
      <c r="A41" s="164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64"/>
      <c r="BG41" s="164"/>
      <c r="BH41" s="164"/>
      <c r="BI41" s="164"/>
    </row>
    <row r="42" ht="15.75" customHeight="1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</row>
    <row r="43" ht="15.75" customHeight="1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64"/>
      <c r="BH43" s="164"/>
      <c r="BI43" s="164"/>
    </row>
    <row r="44" ht="15.75" customHeight="1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</row>
    <row r="45" ht="15.75" customHeight="1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</row>
    <row r="46" ht="15.75" customHeight="1">
      <c r="A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</row>
    <row r="47" ht="15.75" customHeight="1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</row>
    <row r="48" ht="15.75" customHeight="1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</row>
    <row r="49" ht="15.75" customHeight="1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</row>
    <row r="50" ht="15.75" customHeight="1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</row>
    <row r="51" ht="15.75" customHeight="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</row>
    <row r="52" ht="15.75" customHeight="1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</row>
    <row r="53" ht="15.75" customHeight="1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</row>
    <row r="54" ht="15.75" customHeight="1">
      <c r="A54" s="165"/>
      <c r="B54" s="165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</row>
    <row r="55" ht="15.75" customHeight="1">
      <c r="A55" s="164"/>
      <c r="B55" s="166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</row>
    <row r="56" ht="15.75" customHeight="1">
      <c r="A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</row>
    <row r="57" ht="15.75" customHeight="1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</row>
    <row r="58" ht="15.75" customHeight="1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</row>
    <row r="59" ht="15.75" customHeight="1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</row>
    <row r="60" ht="15.75" customHeight="1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</row>
    <row r="61" ht="15.75" customHeight="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</row>
    <row r="62" ht="15.75" customHeight="1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</row>
    <row r="63" ht="15.75" customHeight="1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</row>
    <row r="64" ht="15.75" customHeight="1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</row>
    <row r="65" ht="15.75" customHeight="1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</row>
    <row r="66" ht="15.75" customHeight="1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</row>
    <row r="67" ht="15.75" customHeight="1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</row>
    <row r="68" ht="15.75" customHeight="1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</row>
    <row r="69" ht="15.75" customHeight="1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</row>
    <row r="70" ht="15.75" customHeight="1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</row>
    <row r="71" ht="15.75" customHeight="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</row>
    <row r="72" ht="15.75" customHeight="1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</row>
    <row r="73" ht="15.75" customHeight="1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</row>
    <row r="74" ht="15.75" customHeight="1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</row>
    <row r="75" ht="15.75" customHeight="1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</row>
    <row r="76" ht="15.75" customHeight="1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</row>
    <row r="77" ht="15.75" customHeight="1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</row>
    <row r="78" ht="15.75" customHeight="1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</row>
    <row r="79" ht="15.75" customHeight="1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</row>
    <row r="80" ht="15.75" customHeight="1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</row>
    <row r="81" ht="15.75" customHeight="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</row>
    <row r="82" ht="15.75" customHeight="1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</row>
    <row r="83" ht="15.75" customHeight="1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  <c r="BF83" s="164"/>
      <c r="BG83" s="164"/>
      <c r="BH83" s="164"/>
      <c r="BI83" s="164"/>
    </row>
    <row r="84" ht="15.75" customHeight="1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  <c r="BH84" s="164"/>
      <c r="BI84" s="164"/>
    </row>
    <row r="85" ht="15.75" customHeight="1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F85" s="164"/>
      <c r="BG85" s="164"/>
      <c r="BH85" s="164"/>
      <c r="BI85" s="164"/>
    </row>
    <row r="86" ht="15.75" customHeight="1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</row>
    <row r="87" ht="15.75" customHeight="1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  <c r="BH87" s="164"/>
      <c r="BI87" s="164"/>
    </row>
    <row r="88" ht="15.75" customHeight="1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  <c r="BF88" s="164"/>
      <c r="BG88" s="164"/>
      <c r="BH88" s="164"/>
      <c r="BI88" s="164"/>
    </row>
    <row r="89" ht="15.75" customHeight="1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4"/>
      <c r="BD89" s="164"/>
      <c r="BE89" s="164"/>
      <c r="BF89" s="164"/>
      <c r="BG89" s="164"/>
      <c r="BH89" s="164"/>
      <c r="BI89" s="164"/>
    </row>
    <row r="90" ht="15.75" customHeight="1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  <c r="BH90" s="164"/>
      <c r="BI90" s="164"/>
    </row>
    <row r="91" ht="15.75" customHeight="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  <c r="AS91" s="164"/>
      <c r="AT91" s="164"/>
      <c r="AU91" s="164"/>
      <c r="AV91" s="164"/>
      <c r="AW91" s="164"/>
      <c r="AX91" s="164"/>
      <c r="AY91" s="164"/>
      <c r="AZ91" s="164"/>
      <c r="BA91" s="164"/>
      <c r="BB91" s="164"/>
      <c r="BC91" s="164"/>
      <c r="BD91" s="164"/>
      <c r="BE91" s="164"/>
      <c r="BF91" s="164"/>
      <c r="BG91" s="164"/>
      <c r="BH91" s="164"/>
      <c r="BI91" s="164"/>
    </row>
    <row r="92" ht="15.75" customHeight="1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164"/>
      <c r="BB92" s="164"/>
      <c r="BC92" s="164"/>
      <c r="BD92" s="164"/>
      <c r="BE92" s="164"/>
      <c r="BF92" s="164"/>
      <c r="BG92" s="164"/>
      <c r="BH92" s="164"/>
      <c r="BI92" s="164"/>
    </row>
    <row r="93" ht="15.75" customHeight="1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  <c r="AR93" s="164"/>
      <c r="AS93" s="164"/>
      <c r="AT93" s="164"/>
      <c r="AU93" s="164"/>
      <c r="AV93" s="164"/>
      <c r="AW93" s="164"/>
      <c r="AX93" s="164"/>
      <c r="AY93" s="164"/>
      <c r="AZ93" s="164"/>
      <c r="BA93" s="164"/>
      <c r="BB93" s="164"/>
      <c r="BC93" s="164"/>
      <c r="BD93" s="164"/>
      <c r="BE93" s="164"/>
      <c r="BF93" s="164"/>
      <c r="BG93" s="164"/>
      <c r="BH93" s="164"/>
      <c r="BI93" s="164"/>
    </row>
    <row r="94" ht="15.75" customHeight="1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  <c r="AO94" s="164"/>
      <c r="AP94" s="164"/>
      <c r="AQ94" s="164"/>
      <c r="AR94" s="164"/>
      <c r="AS94" s="164"/>
      <c r="AT94" s="164"/>
      <c r="AU94" s="164"/>
      <c r="AV94" s="164"/>
      <c r="AW94" s="164"/>
      <c r="AX94" s="164"/>
      <c r="AY94" s="164"/>
      <c r="AZ94" s="164"/>
      <c r="BA94" s="164"/>
      <c r="BB94" s="164"/>
      <c r="BC94" s="164"/>
      <c r="BD94" s="164"/>
      <c r="BE94" s="164"/>
      <c r="BF94" s="164"/>
      <c r="BG94" s="164"/>
      <c r="BH94" s="164"/>
      <c r="BI94" s="164"/>
    </row>
    <row r="95" ht="15.75" customHeight="1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64"/>
      <c r="AO95" s="164"/>
      <c r="AP95" s="164"/>
      <c r="AQ95" s="164"/>
      <c r="AR95" s="164"/>
      <c r="AS95" s="164"/>
      <c r="AT95" s="164"/>
      <c r="AU95" s="164"/>
      <c r="AV95" s="164"/>
      <c r="AW95" s="164"/>
      <c r="AX95" s="164"/>
      <c r="AY95" s="164"/>
      <c r="AZ95" s="164"/>
      <c r="BA95" s="164"/>
      <c r="BB95" s="164"/>
      <c r="BC95" s="164"/>
      <c r="BD95" s="164"/>
      <c r="BE95" s="164"/>
      <c r="BF95" s="164"/>
      <c r="BG95" s="164"/>
      <c r="BH95" s="164"/>
      <c r="BI95" s="164"/>
    </row>
    <row r="96" ht="15.75" customHeight="1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  <c r="AR96" s="164"/>
      <c r="AS96" s="164"/>
      <c r="AT96" s="164"/>
      <c r="AU96" s="164"/>
      <c r="AV96" s="164"/>
      <c r="AW96" s="164"/>
      <c r="AX96" s="164"/>
      <c r="AY96" s="164"/>
      <c r="AZ96" s="164"/>
      <c r="BA96" s="164"/>
      <c r="BB96" s="164"/>
      <c r="BC96" s="164"/>
      <c r="BD96" s="164"/>
      <c r="BE96" s="164"/>
      <c r="BF96" s="164"/>
      <c r="BG96" s="164"/>
      <c r="BH96" s="164"/>
      <c r="BI96" s="164"/>
    </row>
    <row r="97" ht="15.75" customHeight="1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</row>
    <row r="98" ht="15.75" customHeight="1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  <c r="AM98" s="164"/>
      <c r="AN98" s="164"/>
      <c r="AO98" s="164"/>
      <c r="AP98" s="164"/>
      <c r="AQ98" s="164"/>
      <c r="AR98" s="164"/>
      <c r="AS98" s="164"/>
      <c r="AT98" s="164"/>
      <c r="AU98" s="164"/>
      <c r="AV98" s="164"/>
      <c r="AW98" s="164"/>
      <c r="AX98" s="164"/>
      <c r="AY98" s="164"/>
      <c r="AZ98" s="164"/>
      <c r="BA98" s="164"/>
      <c r="BB98" s="164"/>
      <c r="BC98" s="164"/>
      <c r="BD98" s="164"/>
      <c r="BE98" s="164"/>
      <c r="BF98" s="164"/>
      <c r="BG98" s="164"/>
      <c r="BH98" s="164"/>
      <c r="BI98" s="164"/>
    </row>
    <row r="99" ht="15.75" customHeight="1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  <c r="AO99" s="164"/>
      <c r="AP99" s="164"/>
      <c r="AQ99" s="164"/>
      <c r="AR99" s="164"/>
      <c r="AS99" s="164"/>
      <c r="AT99" s="164"/>
      <c r="AU99" s="164"/>
      <c r="AV99" s="164"/>
      <c r="AW99" s="164"/>
      <c r="AX99" s="164"/>
      <c r="AY99" s="164"/>
      <c r="AZ99" s="164"/>
      <c r="BA99" s="164"/>
      <c r="BB99" s="164"/>
      <c r="BC99" s="164"/>
      <c r="BD99" s="164"/>
      <c r="BE99" s="164"/>
      <c r="BF99" s="164"/>
      <c r="BG99" s="164"/>
      <c r="BH99" s="164"/>
      <c r="BI99" s="164"/>
    </row>
    <row r="100" ht="15.75" customHeight="1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  <c r="AO100" s="164"/>
      <c r="AP100" s="164"/>
      <c r="AQ100" s="164"/>
      <c r="AR100" s="164"/>
      <c r="AS100" s="164"/>
      <c r="AT100" s="164"/>
      <c r="AU100" s="164"/>
      <c r="AV100" s="164"/>
      <c r="AW100" s="164"/>
      <c r="AX100" s="164"/>
      <c r="AY100" s="164"/>
      <c r="AZ100" s="164"/>
      <c r="BA100" s="164"/>
      <c r="BB100" s="164"/>
      <c r="BC100" s="164"/>
      <c r="BD100" s="164"/>
      <c r="BE100" s="164"/>
      <c r="BF100" s="164"/>
      <c r="BG100" s="164"/>
      <c r="BH100" s="164"/>
      <c r="BI100" s="164"/>
    </row>
    <row r="101" ht="15.75" customHeight="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  <c r="AO101" s="164"/>
      <c r="AP101" s="164"/>
      <c r="AQ101" s="164"/>
      <c r="AR101" s="164"/>
      <c r="AS101" s="164"/>
      <c r="AT101" s="164"/>
      <c r="AU101" s="164"/>
      <c r="AV101" s="164"/>
      <c r="AW101" s="164"/>
      <c r="AX101" s="164"/>
      <c r="AY101" s="164"/>
      <c r="AZ101" s="164"/>
      <c r="BA101" s="164"/>
      <c r="BB101" s="164"/>
      <c r="BC101" s="164"/>
      <c r="BD101" s="164"/>
      <c r="BE101" s="164"/>
      <c r="BF101" s="164"/>
      <c r="BG101" s="164"/>
      <c r="BH101" s="164"/>
      <c r="BI101" s="164"/>
    </row>
    <row r="102" ht="15.75" customHeight="1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  <c r="AO102" s="164"/>
      <c r="AP102" s="164"/>
      <c r="AQ102" s="164"/>
      <c r="AR102" s="164"/>
      <c r="AS102" s="164"/>
      <c r="AT102" s="164"/>
      <c r="AU102" s="164"/>
      <c r="AV102" s="164"/>
      <c r="AW102" s="164"/>
      <c r="AX102" s="164"/>
      <c r="AY102" s="164"/>
      <c r="AZ102" s="164"/>
      <c r="BA102" s="164"/>
      <c r="BB102" s="164"/>
      <c r="BC102" s="164"/>
      <c r="BD102" s="164"/>
      <c r="BE102" s="164"/>
      <c r="BF102" s="164"/>
      <c r="BG102" s="164"/>
      <c r="BH102" s="164"/>
      <c r="BI102" s="164"/>
    </row>
    <row r="103" ht="15.75" customHeight="1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/>
      <c r="AL103" s="164"/>
      <c r="AM103" s="164"/>
      <c r="AN103" s="164"/>
      <c r="AO103" s="164"/>
      <c r="AP103" s="164"/>
      <c r="AQ103" s="164"/>
      <c r="AR103" s="164"/>
      <c r="AS103" s="164"/>
      <c r="AT103" s="164"/>
      <c r="AU103" s="164"/>
      <c r="AV103" s="164"/>
      <c r="AW103" s="164"/>
      <c r="AX103" s="164"/>
      <c r="AY103" s="164"/>
      <c r="AZ103" s="164"/>
      <c r="BA103" s="164"/>
      <c r="BB103" s="164"/>
      <c r="BC103" s="164"/>
      <c r="BD103" s="164"/>
      <c r="BE103" s="164"/>
      <c r="BF103" s="164"/>
      <c r="BG103" s="164"/>
      <c r="BH103" s="164"/>
      <c r="BI103" s="164"/>
    </row>
    <row r="104" ht="15.75" customHeight="1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4"/>
      <c r="AT104" s="164"/>
      <c r="AU104" s="164"/>
      <c r="AV104" s="164"/>
      <c r="AW104" s="164"/>
      <c r="AX104" s="164"/>
      <c r="AY104" s="164"/>
      <c r="AZ104" s="164"/>
      <c r="BA104" s="164"/>
      <c r="BB104" s="164"/>
      <c r="BC104" s="164"/>
      <c r="BD104" s="164"/>
      <c r="BE104" s="164"/>
      <c r="BF104" s="164"/>
      <c r="BG104" s="164"/>
      <c r="BH104" s="164"/>
      <c r="BI104" s="164"/>
    </row>
    <row r="105" ht="15.75" customHeight="1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4"/>
      <c r="AT105" s="164"/>
      <c r="AU105" s="164"/>
      <c r="AV105" s="164"/>
      <c r="AW105" s="164"/>
      <c r="AX105" s="164"/>
      <c r="AY105" s="164"/>
      <c r="AZ105" s="164"/>
      <c r="BA105" s="164"/>
      <c r="BB105" s="164"/>
      <c r="BC105" s="164"/>
      <c r="BD105" s="164"/>
      <c r="BE105" s="164"/>
      <c r="BF105" s="164"/>
      <c r="BG105" s="164"/>
      <c r="BH105" s="164"/>
      <c r="BI105" s="164"/>
    </row>
    <row r="106" ht="15.75" customHeight="1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4"/>
      <c r="AT106" s="164"/>
      <c r="AU106" s="164"/>
      <c r="AV106" s="164"/>
      <c r="AW106" s="164"/>
      <c r="AX106" s="164"/>
      <c r="AY106" s="164"/>
      <c r="AZ106" s="164"/>
      <c r="BA106" s="164"/>
      <c r="BB106" s="164"/>
      <c r="BC106" s="164"/>
      <c r="BD106" s="164"/>
      <c r="BE106" s="164"/>
      <c r="BF106" s="164"/>
      <c r="BG106" s="164"/>
      <c r="BH106" s="164"/>
      <c r="BI106" s="164"/>
    </row>
    <row r="107" ht="15.75" customHeight="1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4"/>
      <c r="AT107" s="164"/>
      <c r="AU107" s="164"/>
      <c r="AV107" s="164"/>
      <c r="AW107" s="164"/>
      <c r="AX107" s="164"/>
      <c r="AY107" s="164"/>
      <c r="AZ107" s="164"/>
      <c r="BA107" s="164"/>
      <c r="BB107" s="164"/>
      <c r="BC107" s="164"/>
      <c r="BD107" s="164"/>
      <c r="BE107" s="164"/>
      <c r="BF107" s="164"/>
      <c r="BG107" s="164"/>
      <c r="BH107" s="164"/>
      <c r="BI107" s="164"/>
    </row>
    <row r="108" ht="15.75" customHeight="1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  <c r="AR108" s="164"/>
      <c r="AS108" s="164"/>
      <c r="AT108" s="164"/>
      <c r="AU108" s="164"/>
      <c r="AV108" s="164"/>
      <c r="AW108" s="164"/>
      <c r="AX108" s="164"/>
      <c r="AY108" s="164"/>
      <c r="AZ108" s="164"/>
      <c r="BA108" s="164"/>
      <c r="BB108" s="164"/>
      <c r="BC108" s="164"/>
      <c r="BD108" s="164"/>
      <c r="BE108" s="164"/>
      <c r="BF108" s="164"/>
      <c r="BG108" s="164"/>
      <c r="BH108" s="164"/>
      <c r="BI108" s="164"/>
    </row>
    <row r="109" ht="15.75" customHeight="1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  <c r="AM109" s="164"/>
      <c r="AN109" s="164"/>
      <c r="AO109" s="164"/>
      <c r="AP109" s="164"/>
      <c r="AQ109" s="164"/>
      <c r="AR109" s="164"/>
      <c r="AS109" s="164"/>
      <c r="AT109" s="164"/>
      <c r="AU109" s="164"/>
      <c r="AV109" s="164"/>
      <c r="AW109" s="164"/>
      <c r="AX109" s="164"/>
      <c r="AY109" s="164"/>
      <c r="AZ109" s="164"/>
      <c r="BA109" s="164"/>
      <c r="BB109" s="164"/>
      <c r="BC109" s="164"/>
      <c r="BD109" s="164"/>
      <c r="BE109" s="164"/>
      <c r="BF109" s="164"/>
      <c r="BG109" s="164"/>
      <c r="BH109" s="164"/>
      <c r="BI109" s="164"/>
    </row>
    <row r="110" ht="15.75" customHeight="1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64"/>
      <c r="AO110" s="164"/>
      <c r="AP110" s="164"/>
      <c r="AQ110" s="164"/>
      <c r="AR110" s="164"/>
      <c r="AS110" s="164"/>
      <c r="AT110" s="164"/>
      <c r="AU110" s="164"/>
      <c r="AV110" s="164"/>
      <c r="AW110" s="164"/>
      <c r="AX110" s="164"/>
      <c r="AY110" s="164"/>
      <c r="AZ110" s="164"/>
      <c r="BA110" s="164"/>
      <c r="BB110" s="164"/>
      <c r="BC110" s="164"/>
      <c r="BD110" s="164"/>
      <c r="BE110" s="164"/>
      <c r="BF110" s="164"/>
      <c r="BG110" s="164"/>
      <c r="BH110" s="164"/>
      <c r="BI110" s="164"/>
    </row>
    <row r="111" ht="15.75" customHeight="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  <c r="AM111" s="164"/>
      <c r="AN111" s="164"/>
      <c r="AO111" s="164"/>
      <c r="AP111" s="164"/>
      <c r="AQ111" s="164"/>
      <c r="AR111" s="164"/>
      <c r="AS111" s="164"/>
      <c r="AT111" s="164"/>
      <c r="AU111" s="164"/>
      <c r="AV111" s="164"/>
      <c r="AW111" s="164"/>
      <c r="AX111" s="164"/>
      <c r="AY111" s="164"/>
      <c r="AZ111" s="164"/>
      <c r="BA111" s="164"/>
      <c r="BB111" s="164"/>
      <c r="BC111" s="164"/>
      <c r="BD111" s="164"/>
      <c r="BE111" s="164"/>
      <c r="BF111" s="164"/>
      <c r="BG111" s="164"/>
      <c r="BH111" s="164"/>
      <c r="BI111" s="164"/>
    </row>
    <row r="112" ht="15.75" customHeight="1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64"/>
      <c r="AO112" s="164"/>
      <c r="AP112" s="164"/>
      <c r="AQ112" s="164"/>
      <c r="AR112" s="164"/>
      <c r="AS112" s="164"/>
      <c r="AT112" s="164"/>
      <c r="AU112" s="164"/>
      <c r="AV112" s="164"/>
      <c r="AW112" s="164"/>
      <c r="AX112" s="164"/>
      <c r="AY112" s="164"/>
      <c r="AZ112" s="164"/>
      <c r="BA112" s="164"/>
      <c r="BB112" s="164"/>
      <c r="BC112" s="164"/>
      <c r="BD112" s="164"/>
      <c r="BE112" s="164"/>
      <c r="BF112" s="164"/>
      <c r="BG112" s="164"/>
      <c r="BH112" s="164"/>
      <c r="BI112" s="164"/>
    </row>
    <row r="113" ht="15.75" customHeight="1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  <c r="AM113" s="164"/>
      <c r="AN113" s="164"/>
      <c r="AO113" s="164"/>
      <c r="AP113" s="164"/>
      <c r="AQ113" s="164"/>
      <c r="AR113" s="164"/>
      <c r="AS113" s="164"/>
      <c r="AT113" s="164"/>
      <c r="AU113" s="164"/>
      <c r="AV113" s="164"/>
      <c r="AW113" s="164"/>
      <c r="AX113" s="164"/>
      <c r="AY113" s="164"/>
      <c r="AZ113" s="164"/>
      <c r="BA113" s="164"/>
      <c r="BB113" s="164"/>
      <c r="BC113" s="164"/>
      <c r="BD113" s="164"/>
      <c r="BE113" s="164"/>
      <c r="BF113" s="164"/>
      <c r="BG113" s="164"/>
      <c r="BH113" s="164"/>
      <c r="BI113" s="164"/>
    </row>
    <row r="114" ht="15.75" customHeight="1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  <c r="AM114" s="164"/>
      <c r="AN114" s="164"/>
      <c r="AO114" s="164"/>
      <c r="AP114" s="164"/>
      <c r="AQ114" s="164"/>
      <c r="AR114" s="164"/>
      <c r="AS114" s="164"/>
      <c r="AT114" s="164"/>
      <c r="AU114" s="164"/>
      <c r="AV114" s="164"/>
      <c r="AW114" s="164"/>
      <c r="AX114" s="164"/>
      <c r="AY114" s="164"/>
      <c r="AZ114" s="164"/>
      <c r="BA114" s="164"/>
      <c r="BB114" s="164"/>
      <c r="BC114" s="164"/>
      <c r="BD114" s="164"/>
      <c r="BE114" s="164"/>
      <c r="BF114" s="164"/>
      <c r="BG114" s="164"/>
      <c r="BH114" s="164"/>
      <c r="BI114" s="164"/>
    </row>
    <row r="115" ht="15.75" customHeight="1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  <c r="AM115" s="164"/>
      <c r="AN115" s="164"/>
      <c r="AO115" s="164"/>
      <c r="AP115" s="164"/>
      <c r="AQ115" s="164"/>
      <c r="AR115" s="164"/>
      <c r="AS115" s="164"/>
      <c r="AT115" s="164"/>
      <c r="AU115" s="164"/>
      <c r="AV115" s="164"/>
      <c r="AW115" s="164"/>
      <c r="AX115" s="164"/>
      <c r="AY115" s="164"/>
      <c r="AZ115" s="164"/>
      <c r="BA115" s="164"/>
      <c r="BB115" s="164"/>
      <c r="BC115" s="164"/>
      <c r="BD115" s="164"/>
      <c r="BE115" s="164"/>
      <c r="BF115" s="164"/>
      <c r="BG115" s="164"/>
      <c r="BH115" s="164"/>
      <c r="BI115" s="164"/>
    </row>
    <row r="116" ht="15.75" customHeight="1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  <c r="AM116" s="164"/>
      <c r="AN116" s="164"/>
      <c r="AO116" s="164"/>
      <c r="AP116" s="164"/>
      <c r="AQ116" s="164"/>
      <c r="AR116" s="164"/>
      <c r="AS116" s="164"/>
      <c r="AT116" s="164"/>
      <c r="AU116" s="164"/>
      <c r="AV116" s="164"/>
      <c r="AW116" s="164"/>
      <c r="AX116" s="164"/>
      <c r="AY116" s="164"/>
      <c r="AZ116" s="164"/>
      <c r="BA116" s="164"/>
      <c r="BB116" s="164"/>
      <c r="BC116" s="164"/>
      <c r="BD116" s="164"/>
      <c r="BE116" s="164"/>
      <c r="BF116" s="164"/>
      <c r="BG116" s="164"/>
      <c r="BH116" s="164"/>
      <c r="BI116" s="164"/>
    </row>
    <row r="117" ht="15.75" customHeight="1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  <c r="AJ117" s="164"/>
      <c r="AK117" s="164"/>
      <c r="AL117" s="164"/>
      <c r="AM117" s="164"/>
      <c r="AN117" s="164"/>
      <c r="AO117" s="164"/>
      <c r="AP117" s="164"/>
      <c r="AQ117" s="164"/>
      <c r="AR117" s="164"/>
      <c r="AS117" s="164"/>
      <c r="AT117" s="164"/>
      <c r="AU117" s="164"/>
      <c r="AV117" s="164"/>
      <c r="AW117" s="164"/>
      <c r="AX117" s="164"/>
      <c r="AY117" s="164"/>
      <c r="AZ117" s="164"/>
      <c r="BA117" s="164"/>
      <c r="BB117" s="164"/>
      <c r="BC117" s="164"/>
      <c r="BD117" s="164"/>
      <c r="BE117" s="164"/>
      <c r="BF117" s="164"/>
      <c r="BG117" s="164"/>
      <c r="BH117" s="164"/>
      <c r="BI117" s="164"/>
    </row>
    <row r="118" ht="15.75" customHeight="1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64"/>
      <c r="AJ118" s="164"/>
      <c r="AK118" s="164"/>
      <c r="AL118" s="164"/>
      <c r="AM118" s="164"/>
      <c r="AN118" s="164"/>
      <c r="AO118" s="164"/>
      <c r="AP118" s="164"/>
      <c r="AQ118" s="164"/>
      <c r="AR118" s="164"/>
      <c r="AS118" s="164"/>
      <c r="AT118" s="164"/>
      <c r="AU118" s="164"/>
      <c r="AV118" s="164"/>
      <c r="AW118" s="164"/>
      <c r="AX118" s="164"/>
      <c r="AY118" s="164"/>
      <c r="AZ118" s="164"/>
      <c r="BA118" s="164"/>
      <c r="BB118" s="164"/>
      <c r="BC118" s="164"/>
      <c r="BD118" s="164"/>
      <c r="BE118" s="164"/>
      <c r="BF118" s="164"/>
      <c r="BG118" s="164"/>
      <c r="BH118" s="164"/>
      <c r="BI118" s="164"/>
    </row>
    <row r="119" ht="15.75" customHeight="1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64"/>
      <c r="AK119" s="164"/>
      <c r="AL119" s="164"/>
      <c r="AM119" s="164"/>
      <c r="AN119" s="164"/>
      <c r="AO119" s="164"/>
      <c r="AP119" s="164"/>
      <c r="AQ119" s="164"/>
      <c r="AR119" s="164"/>
      <c r="AS119" s="164"/>
      <c r="AT119" s="164"/>
      <c r="AU119" s="164"/>
      <c r="AV119" s="164"/>
      <c r="AW119" s="164"/>
      <c r="AX119" s="164"/>
      <c r="AY119" s="164"/>
      <c r="AZ119" s="164"/>
      <c r="BA119" s="164"/>
      <c r="BB119" s="164"/>
      <c r="BC119" s="164"/>
      <c r="BD119" s="164"/>
      <c r="BE119" s="164"/>
      <c r="BF119" s="164"/>
      <c r="BG119" s="164"/>
      <c r="BH119" s="164"/>
      <c r="BI119" s="164"/>
    </row>
    <row r="120" ht="15.75" customHeight="1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  <c r="AO120" s="164"/>
      <c r="AP120" s="164"/>
      <c r="AQ120" s="164"/>
      <c r="AR120" s="164"/>
      <c r="AS120" s="164"/>
      <c r="AT120" s="164"/>
      <c r="AU120" s="164"/>
      <c r="AV120" s="164"/>
      <c r="AW120" s="164"/>
      <c r="AX120" s="164"/>
      <c r="AY120" s="164"/>
      <c r="AZ120" s="164"/>
      <c r="BA120" s="164"/>
      <c r="BB120" s="164"/>
      <c r="BC120" s="164"/>
      <c r="BD120" s="164"/>
      <c r="BE120" s="164"/>
      <c r="BF120" s="164"/>
      <c r="BG120" s="164"/>
      <c r="BH120" s="164"/>
      <c r="BI120" s="164"/>
    </row>
    <row r="121" ht="15.75" customHeight="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  <c r="AH121" s="164"/>
      <c r="AI121" s="164"/>
      <c r="AJ121" s="164"/>
      <c r="AK121" s="164"/>
      <c r="AL121" s="164"/>
      <c r="AM121" s="164"/>
      <c r="AN121" s="164"/>
      <c r="AO121" s="164"/>
      <c r="AP121" s="164"/>
      <c r="AQ121" s="164"/>
      <c r="AR121" s="164"/>
      <c r="AS121" s="164"/>
      <c r="AT121" s="164"/>
      <c r="AU121" s="164"/>
      <c r="AV121" s="164"/>
      <c r="AW121" s="164"/>
      <c r="AX121" s="164"/>
      <c r="AY121" s="164"/>
      <c r="AZ121" s="164"/>
      <c r="BA121" s="164"/>
      <c r="BB121" s="164"/>
      <c r="BC121" s="164"/>
      <c r="BD121" s="164"/>
      <c r="BE121" s="164"/>
      <c r="BF121" s="164"/>
      <c r="BG121" s="164"/>
      <c r="BH121" s="164"/>
      <c r="BI121" s="164"/>
    </row>
    <row r="122" ht="15.75" customHeight="1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64"/>
      <c r="AM122" s="164"/>
      <c r="AN122" s="164"/>
      <c r="AO122" s="164"/>
      <c r="AP122" s="164"/>
      <c r="AQ122" s="164"/>
      <c r="AR122" s="164"/>
      <c r="AS122" s="164"/>
      <c r="AT122" s="164"/>
      <c r="AU122" s="164"/>
      <c r="AV122" s="164"/>
      <c r="AW122" s="164"/>
      <c r="AX122" s="164"/>
      <c r="AY122" s="164"/>
      <c r="AZ122" s="164"/>
      <c r="BA122" s="164"/>
      <c r="BB122" s="164"/>
      <c r="BC122" s="164"/>
      <c r="BD122" s="164"/>
      <c r="BE122" s="164"/>
      <c r="BF122" s="164"/>
      <c r="BG122" s="164"/>
      <c r="BH122" s="164"/>
      <c r="BI122" s="164"/>
    </row>
    <row r="123" ht="15.75" customHeight="1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64"/>
      <c r="AJ123" s="164"/>
      <c r="AK123" s="164"/>
      <c r="AL123" s="164"/>
      <c r="AM123" s="164"/>
      <c r="AN123" s="164"/>
      <c r="AO123" s="164"/>
      <c r="AP123" s="164"/>
      <c r="AQ123" s="164"/>
      <c r="AR123" s="164"/>
      <c r="AS123" s="164"/>
      <c r="AT123" s="164"/>
      <c r="AU123" s="164"/>
      <c r="AV123" s="164"/>
      <c r="AW123" s="164"/>
      <c r="AX123" s="164"/>
      <c r="AY123" s="164"/>
      <c r="AZ123" s="164"/>
      <c r="BA123" s="164"/>
      <c r="BB123" s="164"/>
      <c r="BC123" s="164"/>
      <c r="BD123" s="164"/>
      <c r="BE123" s="164"/>
      <c r="BF123" s="164"/>
      <c r="BG123" s="164"/>
      <c r="BH123" s="164"/>
      <c r="BI123" s="164"/>
    </row>
    <row r="124" ht="15.75" customHeight="1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164"/>
      <c r="AJ124" s="164"/>
      <c r="AK124" s="164"/>
      <c r="AL124" s="164"/>
      <c r="AM124" s="164"/>
      <c r="AN124" s="164"/>
      <c r="AO124" s="164"/>
      <c r="AP124" s="164"/>
      <c r="AQ124" s="164"/>
      <c r="AR124" s="164"/>
      <c r="AS124" s="164"/>
      <c r="AT124" s="164"/>
      <c r="AU124" s="164"/>
      <c r="AV124" s="164"/>
      <c r="AW124" s="164"/>
      <c r="AX124" s="164"/>
      <c r="AY124" s="164"/>
      <c r="AZ124" s="164"/>
      <c r="BA124" s="164"/>
      <c r="BB124" s="164"/>
      <c r="BC124" s="164"/>
      <c r="BD124" s="164"/>
      <c r="BE124" s="164"/>
      <c r="BF124" s="164"/>
      <c r="BG124" s="164"/>
      <c r="BH124" s="164"/>
      <c r="BI124" s="164"/>
    </row>
    <row r="125" ht="15.75" customHeight="1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  <c r="AH125" s="164"/>
      <c r="AI125" s="164"/>
      <c r="AJ125" s="164"/>
      <c r="AK125" s="164"/>
      <c r="AL125" s="164"/>
      <c r="AM125" s="164"/>
      <c r="AN125" s="164"/>
      <c r="AO125" s="164"/>
      <c r="AP125" s="164"/>
      <c r="AQ125" s="164"/>
      <c r="AR125" s="164"/>
      <c r="AS125" s="164"/>
      <c r="AT125" s="164"/>
      <c r="AU125" s="164"/>
      <c r="AV125" s="164"/>
      <c r="AW125" s="164"/>
      <c r="AX125" s="164"/>
      <c r="AY125" s="164"/>
      <c r="AZ125" s="164"/>
      <c r="BA125" s="164"/>
      <c r="BB125" s="164"/>
      <c r="BC125" s="164"/>
      <c r="BD125" s="164"/>
      <c r="BE125" s="164"/>
      <c r="BF125" s="164"/>
      <c r="BG125" s="164"/>
      <c r="BH125" s="164"/>
      <c r="BI125" s="164"/>
    </row>
    <row r="126" ht="15.75" customHeight="1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64"/>
      <c r="AJ126" s="164"/>
      <c r="AK126" s="164"/>
      <c r="AL126" s="164"/>
      <c r="AM126" s="164"/>
      <c r="AN126" s="164"/>
      <c r="AO126" s="164"/>
      <c r="AP126" s="164"/>
      <c r="AQ126" s="164"/>
      <c r="AR126" s="164"/>
      <c r="AS126" s="164"/>
      <c r="AT126" s="164"/>
      <c r="AU126" s="164"/>
      <c r="AV126" s="164"/>
      <c r="AW126" s="164"/>
      <c r="AX126" s="164"/>
      <c r="AY126" s="164"/>
      <c r="AZ126" s="164"/>
      <c r="BA126" s="164"/>
      <c r="BB126" s="164"/>
      <c r="BC126" s="164"/>
      <c r="BD126" s="164"/>
      <c r="BE126" s="164"/>
      <c r="BF126" s="164"/>
      <c r="BG126" s="164"/>
      <c r="BH126" s="164"/>
      <c r="BI126" s="164"/>
    </row>
    <row r="127" ht="15.75" customHeight="1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  <c r="AH127" s="164"/>
      <c r="AI127" s="164"/>
      <c r="AJ127" s="164"/>
      <c r="AK127" s="164"/>
      <c r="AL127" s="164"/>
      <c r="AM127" s="164"/>
      <c r="AN127" s="164"/>
      <c r="AO127" s="164"/>
      <c r="AP127" s="164"/>
      <c r="AQ127" s="164"/>
      <c r="AR127" s="164"/>
      <c r="AS127" s="164"/>
      <c r="AT127" s="164"/>
      <c r="AU127" s="164"/>
      <c r="AV127" s="164"/>
      <c r="AW127" s="164"/>
      <c r="AX127" s="164"/>
      <c r="AY127" s="164"/>
      <c r="AZ127" s="164"/>
      <c r="BA127" s="164"/>
      <c r="BB127" s="164"/>
      <c r="BC127" s="164"/>
      <c r="BD127" s="164"/>
      <c r="BE127" s="164"/>
      <c r="BF127" s="164"/>
      <c r="BG127" s="164"/>
      <c r="BH127" s="164"/>
      <c r="BI127" s="164"/>
    </row>
    <row r="128" ht="15.75" customHeight="1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  <c r="AH128" s="164"/>
      <c r="AI128" s="164"/>
      <c r="AJ128" s="164"/>
      <c r="AK128" s="164"/>
      <c r="AL128" s="164"/>
      <c r="AM128" s="164"/>
      <c r="AN128" s="164"/>
      <c r="AO128" s="164"/>
      <c r="AP128" s="164"/>
      <c r="AQ128" s="164"/>
      <c r="AR128" s="164"/>
      <c r="AS128" s="164"/>
      <c r="AT128" s="164"/>
      <c r="AU128" s="164"/>
      <c r="AV128" s="164"/>
      <c r="AW128" s="164"/>
      <c r="AX128" s="164"/>
      <c r="AY128" s="164"/>
      <c r="AZ128" s="164"/>
      <c r="BA128" s="164"/>
      <c r="BB128" s="164"/>
      <c r="BC128" s="164"/>
      <c r="BD128" s="164"/>
      <c r="BE128" s="164"/>
      <c r="BF128" s="164"/>
      <c r="BG128" s="164"/>
      <c r="BH128" s="164"/>
      <c r="BI128" s="164"/>
    </row>
    <row r="129" ht="15.75" customHeight="1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/>
      <c r="AJ129" s="164"/>
      <c r="AK129" s="164"/>
      <c r="AL129" s="164"/>
      <c r="AM129" s="164"/>
      <c r="AN129" s="164"/>
      <c r="AO129" s="164"/>
      <c r="AP129" s="164"/>
      <c r="AQ129" s="164"/>
      <c r="AR129" s="164"/>
      <c r="AS129" s="164"/>
      <c r="AT129" s="164"/>
      <c r="AU129" s="164"/>
      <c r="AV129" s="164"/>
      <c r="AW129" s="164"/>
      <c r="AX129" s="164"/>
      <c r="AY129" s="164"/>
      <c r="AZ129" s="164"/>
      <c r="BA129" s="164"/>
      <c r="BB129" s="164"/>
      <c r="BC129" s="164"/>
      <c r="BD129" s="164"/>
      <c r="BE129" s="164"/>
      <c r="BF129" s="164"/>
      <c r="BG129" s="164"/>
      <c r="BH129" s="164"/>
      <c r="BI129" s="164"/>
    </row>
    <row r="130" ht="15.75" customHeight="1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  <c r="AM130" s="164"/>
      <c r="AN130" s="164"/>
      <c r="AO130" s="164"/>
      <c r="AP130" s="164"/>
      <c r="AQ130" s="164"/>
      <c r="AR130" s="164"/>
      <c r="AS130" s="164"/>
      <c r="AT130" s="164"/>
      <c r="AU130" s="164"/>
      <c r="AV130" s="164"/>
      <c r="AW130" s="164"/>
      <c r="AX130" s="164"/>
      <c r="AY130" s="164"/>
      <c r="AZ130" s="164"/>
      <c r="BA130" s="164"/>
      <c r="BB130" s="164"/>
      <c r="BC130" s="164"/>
      <c r="BD130" s="164"/>
      <c r="BE130" s="164"/>
      <c r="BF130" s="164"/>
      <c r="BG130" s="164"/>
      <c r="BH130" s="164"/>
      <c r="BI130" s="164"/>
    </row>
    <row r="131" ht="15.75" customHeight="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64"/>
      <c r="AM131" s="164"/>
      <c r="AN131" s="164"/>
      <c r="AO131" s="164"/>
      <c r="AP131" s="164"/>
      <c r="AQ131" s="164"/>
      <c r="AR131" s="164"/>
      <c r="AS131" s="164"/>
      <c r="AT131" s="164"/>
      <c r="AU131" s="164"/>
      <c r="AV131" s="164"/>
      <c r="AW131" s="164"/>
      <c r="AX131" s="164"/>
      <c r="AY131" s="164"/>
      <c r="AZ131" s="164"/>
      <c r="BA131" s="164"/>
      <c r="BB131" s="164"/>
      <c r="BC131" s="164"/>
      <c r="BD131" s="164"/>
      <c r="BE131" s="164"/>
      <c r="BF131" s="164"/>
      <c r="BG131" s="164"/>
      <c r="BH131" s="164"/>
      <c r="BI131" s="164"/>
    </row>
    <row r="132" ht="15.75" customHeight="1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64"/>
      <c r="AJ132" s="164"/>
      <c r="AK132" s="164"/>
      <c r="AL132" s="164"/>
      <c r="AM132" s="164"/>
      <c r="AN132" s="164"/>
      <c r="AO132" s="164"/>
      <c r="AP132" s="164"/>
      <c r="AQ132" s="164"/>
      <c r="AR132" s="164"/>
      <c r="AS132" s="164"/>
      <c r="AT132" s="164"/>
      <c r="AU132" s="164"/>
      <c r="AV132" s="164"/>
      <c r="AW132" s="164"/>
      <c r="AX132" s="164"/>
      <c r="AY132" s="164"/>
      <c r="AZ132" s="164"/>
      <c r="BA132" s="164"/>
      <c r="BB132" s="164"/>
      <c r="BC132" s="164"/>
      <c r="BD132" s="164"/>
      <c r="BE132" s="164"/>
      <c r="BF132" s="164"/>
      <c r="BG132" s="164"/>
      <c r="BH132" s="164"/>
      <c r="BI132" s="164"/>
    </row>
    <row r="133" ht="15.75" customHeight="1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64"/>
      <c r="AJ133" s="164"/>
      <c r="AK133" s="164"/>
      <c r="AL133" s="164"/>
      <c r="AM133" s="164"/>
      <c r="AN133" s="164"/>
      <c r="AO133" s="164"/>
      <c r="AP133" s="164"/>
      <c r="AQ133" s="164"/>
      <c r="AR133" s="164"/>
      <c r="AS133" s="164"/>
      <c r="AT133" s="164"/>
      <c r="AU133" s="164"/>
      <c r="AV133" s="164"/>
      <c r="AW133" s="164"/>
      <c r="AX133" s="164"/>
      <c r="AY133" s="164"/>
      <c r="AZ133" s="164"/>
      <c r="BA133" s="164"/>
      <c r="BB133" s="164"/>
      <c r="BC133" s="164"/>
      <c r="BD133" s="164"/>
      <c r="BE133" s="164"/>
      <c r="BF133" s="164"/>
      <c r="BG133" s="164"/>
      <c r="BH133" s="164"/>
      <c r="BI133" s="164"/>
    </row>
    <row r="134" ht="15.75" customHeight="1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  <c r="AO134" s="164"/>
      <c r="AP134" s="164"/>
      <c r="AQ134" s="164"/>
      <c r="AR134" s="164"/>
      <c r="AS134" s="164"/>
      <c r="AT134" s="164"/>
      <c r="AU134" s="164"/>
      <c r="AV134" s="164"/>
      <c r="AW134" s="164"/>
      <c r="AX134" s="164"/>
      <c r="AY134" s="164"/>
      <c r="AZ134" s="164"/>
      <c r="BA134" s="164"/>
      <c r="BB134" s="164"/>
      <c r="BC134" s="164"/>
      <c r="BD134" s="164"/>
      <c r="BE134" s="164"/>
      <c r="BF134" s="164"/>
      <c r="BG134" s="164"/>
      <c r="BH134" s="164"/>
      <c r="BI134" s="164"/>
    </row>
    <row r="135" ht="15.75" customHeight="1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  <c r="AO135" s="164"/>
      <c r="AP135" s="164"/>
      <c r="AQ135" s="164"/>
      <c r="AR135" s="164"/>
      <c r="AS135" s="164"/>
      <c r="AT135" s="164"/>
      <c r="AU135" s="164"/>
      <c r="AV135" s="164"/>
      <c r="AW135" s="164"/>
      <c r="AX135" s="164"/>
      <c r="AY135" s="164"/>
      <c r="AZ135" s="164"/>
      <c r="BA135" s="164"/>
      <c r="BB135" s="164"/>
      <c r="BC135" s="164"/>
      <c r="BD135" s="164"/>
      <c r="BE135" s="164"/>
      <c r="BF135" s="164"/>
      <c r="BG135" s="164"/>
      <c r="BH135" s="164"/>
      <c r="BI135" s="164"/>
    </row>
    <row r="136" ht="15.75" customHeight="1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  <c r="AE136" s="164"/>
      <c r="AF136" s="164"/>
      <c r="AG136" s="164"/>
      <c r="AH136" s="164"/>
      <c r="AI136" s="164"/>
      <c r="AJ136" s="164"/>
      <c r="AK136" s="164"/>
      <c r="AL136" s="164"/>
      <c r="AM136" s="164"/>
      <c r="AN136" s="164"/>
      <c r="AO136" s="164"/>
      <c r="AP136" s="164"/>
      <c r="AQ136" s="164"/>
      <c r="AR136" s="164"/>
      <c r="AS136" s="164"/>
      <c r="AT136" s="164"/>
      <c r="AU136" s="164"/>
      <c r="AV136" s="164"/>
      <c r="AW136" s="164"/>
      <c r="AX136" s="164"/>
      <c r="AY136" s="164"/>
      <c r="AZ136" s="164"/>
      <c r="BA136" s="164"/>
      <c r="BB136" s="164"/>
      <c r="BC136" s="164"/>
      <c r="BD136" s="164"/>
      <c r="BE136" s="164"/>
      <c r="BF136" s="164"/>
      <c r="BG136" s="164"/>
      <c r="BH136" s="164"/>
      <c r="BI136" s="164"/>
    </row>
    <row r="137" ht="15.75" customHeight="1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64"/>
      <c r="AJ137" s="164"/>
      <c r="AK137" s="164"/>
      <c r="AL137" s="164"/>
      <c r="AM137" s="164"/>
      <c r="AN137" s="164"/>
      <c r="AO137" s="164"/>
      <c r="AP137" s="164"/>
      <c r="AQ137" s="164"/>
      <c r="AR137" s="164"/>
      <c r="AS137" s="164"/>
      <c r="AT137" s="164"/>
      <c r="AU137" s="164"/>
      <c r="AV137" s="164"/>
      <c r="AW137" s="164"/>
      <c r="AX137" s="164"/>
      <c r="AY137" s="164"/>
      <c r="AZ137" s="164"/>
      <c r="BA137" s="164"/>
      <c r="BB137" s="164"/>
      <c r="BC137" s="164"/>
      <c r="BD137" s="164"/>
      <c r="BE137" s="164"/>
      <c r="BF137" s="164"/>
      <c r="BG137" s="164"/>
      <c r="BH137" s="164"/>
      <c r="BI137" s="164"/>
    </row>
    <row r="138" ht="15.75" customHeight="1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  <c r="AG138" s="164"/>
      <c r="AH138" s="164"/>
      <c r="AI138" s="164"/>
      <c r="AJ138" s="164"/>
      <c r="AK138" s="164"/>
      <c r="AL138" s="164"/>
      <c r="AM138" s="164"/>
      <c r="AN138" s="164"/>
      <c r="AO138" s="164"/>
      <c r="AP138" s="164"/>
      <c r="AQ138" s="164"/>
      <c r="AR138" s="164"/>
      <c r="AS138" s="164"/>
      <c r="AT138" s="164"/>
      <c r="AU138" s="164"/>
      <c r="AV138" s="164"/>
      <c r="AW138" s="164"/>
      <c r="AX138" s="164"/>
      <c r="AY138" s="164"/>
      <c r="AZ138" s="164"/>
      <c r="BA138" s="164"/>
      <c r="BB138" s="164"/>
      <c r="BC138" s="164"/>
      <c r="BD138" s="164"/>
      <c r="BE138" s="164"/>
      <c r="BF138" s="164"/>
      <c r="BG138" s="164"/>
      <c r="BH138" s="164"/>
      <c r="BI138" s="164"/>
    </row>
    <row r="139" ht="15.75" customHeight="1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  <c r="AG139" s="164"/>
      <c r="AH139" s="164"/>
      <c r="AI139" s="164"/>
      <c r="AJ139" s="164"/>
      <c r="AK139" s="164"/>
      <c r="AL139" s="164"/>
      <c r="AM139" s="164"/>
      <c r="AN139" s="164"/>
      <c r="AO139" s="164"/>
      <c r="AP139" s="164"/>
      <c r="AQ139" s="164"/>
      <c r="AR139" s="164"/>
      <c r="AS139" s="164"/>
      <c r="AT139" s="164"/>
      <c r="AU139" s="164"/>
      <c r="AV139" s="164"/>
      <c r="AW139" s="164"/>
      <c r="AX139" s="164"/>
      <c r="AY139" s="164"/>
      <c r="AZ139" s="164"/>
      <c r="BA139" s="164"/>
      <c r="BB139" s="164"/>
      <c r="BC139" s="164"/>
      <c r="BD139" s="164"/>
      <c r="BE139" s="164"/>
      <c r="BF139" s="164"/>
      <c r="BG139" s="164"/>
      <c r="BH139" s="164"/>
      <c r="BI139" s="164"/>
    </row>
    <row r="140" ht="15.75" customHeight="1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  <c r="AM140" s="164"/>
      <c r="AN140" s="164"/>
      <c r="AO140" s="164"/>
      <c r="AP140" s="164"/>
      <c r="AQ140" s="164"/>
      <c r="AR140" s="164"/>
      <c r="AS140" s="164"/>
      <c r="AT140" s="164"/>
      <c r="AU140" s="164"/>
      <c r="AV140" s="164"/>
      <c r="AW140" s="164"/>
      <c r="AX140" s="164"/>
      <c r="AY140" s="164"/>
      <c r="AZ140" s="164"/>
      <c r="BA140" s="164"/>
      <c r="BB140" s="164"/>
      <c r="BC140" s="164"/>
      <c r="BD140" s="164"/>
      <c r="BE140" s="164"/>
      <c r="BF140" s="164"/>
      <c r="BG140" s="164"/>
      <c r="BH140" s="164"/>
      <c r="BI140" s="164"/>
    </row>
    <row r="141" ht="15.75" customHeight="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  <c r="AE141" s="164"/>
      <c r="AF141" s="164"/>
      <c r="AG141" s="164"/>
      <c r="AH141" s="164"/>
      <c r="AI141" s="164"/>
      <c r="AJ141" s="164"/>
      <c r="AK141" s="164"/>
      <c r="AL141" s="164"/>
      <c r="AM141" s="164"/>
      <c r="AN141" s="164"/>
      <c r="AO141" s="164"/>
      <c r="AP141" s="164"/>
      <c r="AQ141" s="164"/>
      <c r="AR141" s="164"/>
      <c r="AS141" s="164"/>
      <c r="AT141" s="164"/>
      <c r="AU141" s="164"/>
      <c r="AV141" s="164"/>
      <c r="AW141" s="164"/>
      <c r="AX141" s="164"/>
      <c r="AY141" s="164"/>
      <c r="AZ141" s="164"/>
      <c r="BA141" s="164"/>
      <c r="BB141" s="164"/>
      <c r="BC141" s="164"/>
      <c r="BD141" s="164"/>
      <c r="BE141" s="164"/>
      <c r="BF141" s="164"/>
      <c r="BG141" s="164"/>
      <c r="BH141" s="164"/>
      <c r="BI141" s="164"/>
    </row>
    <row r="142" ht="15.75" customHeight="1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  <c r="AE142" s="164"/>
      <c r="AF142" s="164"/>
      <c r="AG142" s="164"/>
      <c r="AH142" s="164"/>
      <c r="AI142" s="164"/>
      <c r="AJ142" s="164"/>
      <c r="AK142" s="164"/>
      <c r="AL142" s="164"/>
      <c r="AM142" s="164"/>
      <c r="AN142" s="164"/>
      <c r="AO142" s="164"/>
      <c r="AP142" s="164"/>
      <c r="AQ142" s="164"/>
      <c r="AR142" s="164"/>
      <c r="AS142" s="164"/>
      <c r="AT142" s="164"/>
      <c r="AU142" s="164"/>
      <c r="AV142" s="164"/>
      <c r="AW142" s="164"/>
      <c r="AX142" s="164"/>
      <c r="AY142" s="164"/>
      <c r="AZ142" s="164"/>
      <c r="BA142" s="164"/>
      <c r="BB142" s="164"/>
      <c r="BC142" s="164"/>
      <c r="BD142" s="164"/>
      <c r="BE142" s="164"/>
      <c r="BF142" s="164"/>
      <c r="BG142" s="164"/>
      <c r="BH142" s="164"/>
      <c r="BI142" s="164"/>
    </row>
    <row r="143" ht="15.75" customHeight="1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  <c r="AE143" s="164"/>
      <c r="AF143" s="164"/>
      <c r="AG143" s="164"/>
      <c r="AH143" s="164"/>
      <c r="AI143" s="164"/>
      <c r="AJ143" s="164"/>
      <c r="AK143" s="164"/>
      <c r="AL143" s="164"/>
      <c r="AM143" s="164"/>
      <c r="AN143" s="164"/>
      <c r="AO143" s="164"/>
      <c r="AP143" s="164"/>
      <c r="AQ143" s="164"/>
      <c r="AR143" s="164"/>
      <c r="AS143" s="164"/>
      <c r="AT143" s="164"/>
      <c r="AU143" s="164"/>
      <c r="AV143" s="164"/>
      <c r="AW143" s="164"/>
      <c r="AX143" s="164"/>
      <c r="AY143" s="164"/>
      <c r="AZ143" s="164"/>
      <c r="BA143" s="164"/>
      <c r="BB143" s="164"/>
      <c r="BC143" s="164"/>
      <c r="BD143" s="164"/>
      <c r="BE143" s="164"/>
      <c r="BF143" s="164"/>
      <c r="BG143" s="164"/>
      <c r="BH143" s="164"/>
      <c r="BI143" s="164"/>
    </row>
    <row r="144" ht="15.75" customHeight="1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  <c r="AD144" s="164"/>
      <c r="AE144" s="164"/>
      <c r="AF144" s="164"/>
      <c r="AG144" s="164"/>
      <c r="AH144" s="164"/>
      <c r="AI144" s="164"/>
      <c r="AJ144" s="164"/>
      <c r="AK144" s="164"/>
      <c r="AL144" s="164"/>
      <c r="AM144" s="164"/>
      <c r="AN144" s="164"/>
      <c r="AO144" s="164"/>
      <c r="AP144" s="164"/>
      <c r="AQ144" s="164"/>
      <c r="AR144" s="164"/>
      <c r="AS144" s="164"/>
      <c r="AT144" s="164"/>
      <c r="AU144" s="164"/>
      <c r="AV144" s="164"/>
      <c r="AW144" s="164"/>
      <c r="AX144" s="164"/>
      <c r="AY144" s="164"/>
      <c r="AZ144" s="164"/>
      <c r="BA144" s="164"/>
      <c r="BB144" s="164"/>
      <c r="BC144" s="164"/>
      <c r="BD144" s="164"/>
      <c r="BE144" s="164"/>
      <c r="BF144" s="164"/>
      <c r="BG144" s="164"/>
      <c r="BH144" s="164"/>
      <c r="BI144" s="164"/>
    </row>
    <row r="145" ht="15.75" customHeight="1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  <c r="AH145" s="164"/>
      <c r="AI145" s="164"/>
      <c r="AJ145" s="164"/>
      <c r="AK145" s="164"/>
      <c r="AL145" s="164"/>
      <c r="AM145" s="164"/>
      <c r="AN145" s="164"/>
      <c r="AO145" s="164"/>
      <c r="AP145" s="164"/>
      <c r="AQ145" s="164"/>
      <c r="AR145" s="164"/>
      <c r="AS145" s="164"/>
      <c r="AT145" s="164"/>
      <c r="AU145" s="164"/>
      <c r="AV145" s="164"/>
      <c r="AW145" s="164"/>
      <c r="AX145" s="164"/>
      <c r="AY145" s="164"/>
      <c r="AZ145" s="164"/>
      <c r="BA145" s="164"/>
      <c r="BB145" s="164"/>
      <c r="BC145" s="164"/>
      <c r="BD145" s="164"/>
      <c r="BE145" s="164"/>
      <c r="BF145" s="164"/>
      <c r="BG145" s="164"/>
      <c r="BH145" s="164"/>
      <c r="BI145" s="164"/>
    </row>
    <row r="146" ht="15.75" customHeight="1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  <c r="AH146" s="164"/>
      <c r="AI146" s="164"/>
      <c r="AJ146" s="164"/>
      <c r="AK146" s="164"/>
      <c r="AL146" s="164"/>
      <c r="AM146" s="164"/>
      <c r="AN146" s="164"/>
      <c r="AO146" s="164"/>
      <c r="AP146" s="164"/>
      <c r="AQ146" s="164"/>
      <c r="AR146" s="164"/>
      <c r="AS146" s="164"/>
      <c r="AT146" s="164"/>
      <c r="AU146" s="164"/>
      <c r="AV146" s="164"/>
      <c r="AW146" s="164"/>
      <c r="AX146" s="164"/>
      <c r="AY146" s="164"/>
      <c r="AZ146" s="164"/>
      <c r="BA146" s="164"/>
      <c r="BB146" s="164"/>
      <c r="BC146" s="164"/>
      <c r="BD146" s="164"/>
      <c r="BE146" s="164"/>
      <c r="BF146" s="164"/>
      <c r="BG146" s="164"/>
      <c r="BH146" s="164"/>
      <c r="BI146" s="164"/>
    </row>
    <row r="147" ht="15.75" customHeight="1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  <c r="AD147" s="164"/>
      <c r="AE147" s="164"/>
      <c r="AF147" s="164"/>
      <c r="AG147" s="164"/>
      <c r="AH147" s="164"/>
      <c r="AI147" s="164"/>
      <c r="AJ147" s="164"/>
      <c r="AK147" s="164"/>
      <c r="AL147" s="164"/>
      <c r="AM147" s="164"/>
      <c r="AN147" s="164"/>
      <c r="AO147" s="164"/>
      <c r="AP147" s="164"/>
      <c r="AQ147" s="164"/>
      <c r="AR147" s="164"/>
      <c r="AS147" s="164"/>
      <c r="AT147" s="164"/>
      <c r="AU147" s="164"/>
      <c r="AV147" s="164"/>
      <c r="AW147" s="164"/>
      <c r="AX147" s="164"/>
      <c r="AY147" s="164"/>
      <c r="AZ147" s="164"/>
      <c r="BA147" s="164"/>
      <c r="BB147" s="164"/>
      <c r="BC147" s="164"/>
      <c r="BD147" s="164"/>
      <c r="BE147" s="164"/>
      <c r="BF147" s="164"/>
      <c r="BG147" s="164"/>
      <c r="BH147" s="164"/>
      <c r="BI147" s="164"/>
    </row>
    <row r="148" ht="15.75" customHeight="1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  <c r="AD148" s="164"/>
      <c r="AE148" s="164"/>
      <c r="AF148" s="164"/>
      <c r="AG148" s="164"/>
      <c r="AH148" s="164"/>
      <c r="AI148" s="164"/>
      <c r="AJ148" s="164"/>
      <c r="AK148" s="164"/>
      <c r="AL148" s="164"/>
      <c r="AM148" s="164"/>
      <c r="AN148" s="164"/>
      <c r="AO148" s="164"/>
      <c r="AP148" s="164"/>
      <c r="AQ148" s="164"/>
      <c r="AR148" s="164"/>
      <c r="AS148" s="164"/>
      <c r="AT148" s="164"/>
      <c r="AU148" s="164"/>
      <c r="AV148" s="164"/>
      <c r="AW148" s="164"/>
      <c r="AX148" s="164"/>
      <c r="AY148" s="164"/>
      <c r="AZ148" s="164"/>
      <c r="BA148" s="164"/>
      <c r="BB148" s="164"/>
      <c r="BC148" s="164"/>
      <c r="BD148" s="164"/>
      <c r="BE148" s="164"/>
      <c r="BF148" s="164"/>
      <c r="BG148" s="164"/>
      <c r="BH148" s="164"/>
      <c r="BI148" s="164"/>
    </row>
    <row r="149" ht="15.75" customHeight="1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  <c r="AD149" s="164"/>
      <c r="AE149" s="164"/>
      <c r="AF149" s="164"/>
      <c r="AG149" s="164"/>
      <c r="AH149" s="164"/>
      <c r="AI149" s="164"/>
      <c r="AJ149" s="164"/>
      <c r="AK149" s="164"/>
      <c r="AL149" s="164"/>
      <c r="AM149" s="164"/>
      <c r="AN149" s="164"/>
      <c r="AO149" s="164"/>
      <c r="AP149" s="164"/>
      <c r="AQ149" s="164"/>
      <c r="AR149" s="164"/>
      <c r="AS149" s="164"/>
      <c r="AT149" s="164"/>
      <c r="AU149" s="164"/>
      <c r="AV149" s="164"/>
      <c r="AW149" s="164"/>
      <c r="AX149" s="164"/>
      <c r="AY149" s="164"/>
      <c r="AZ149" s="164"/>
      <c r="BA149" s="164"/>
      <c r="BB149" s="164"/>
      <c r="BC149" s="164"/>
      <c r="BD149" s="164"/>
      <c r="BE149" s="164"/>
      <c r="BF149" s="164"/>
      <c r="BG149" s="164"/>
      <c r="BH149" s="164"/>
      <c r="BI149" s="164"/>
    </row>
    <row r="150" ht="15.75" customHeight="1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  <c r="AD150" s="164"/>
      <c r="AE150" s="164"/>
      <c r="AF150" s="164"/>
      <c r="AG150" s="164"/>
      <c r="AH150" s="164"/>
      <c r="AI150" s="164"/>
      <c r="AJ150" s="164"/>
      <c r="AK150" s="164"/>
      <c r="AL150" s="164"/>
      <c r="AM150" s="164"/>
      <c r="AN150" s="164"/>
      <c r="AO150" s="164"/>
      <c r="AP150" s="164"/>
      <c r="AQ150" s="164"/>
      <c r="AR150" s="164"/>
      <c r="AS150" s="164"/>
      <c r="AT150" s="164"/>
      <c r="AU150" s="164"/>
      <c r="AV150" s="164"/>
      <c r="AW150" s="164"/>
      <c r="AX150" s="164"/>
      <c r="AY150" s="164"/>
      <c r="AZ150" s="164"/>
      <c r="BA150" s="164"/>
      <c r="BB150" s="164"/>
      <c r="BC150" s="164"/>
      <c r="BD150" s="164"/>
      <c r="BE150" s="164"/>
      <c r="BF150" s="164"/>
      <c r="BG150" s="164"/>
      <c r="BH150" s="164"/>
      <c r="BI150" s="164"/>
    </row>
    <row r="151" ht="15.75" customHeight="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  <c r="AD151" s="164"/>
      <c r="AE151" s="164"/>
      <c r="AF151" s="164"/>
      <c r="AG151" s="164"/>
      <c r="AH151" s="164"/>
      <c r="AI151" s="164"/>
      <c r="AJ151" s="164"/>
      <c r="AK151" s="164"/>
      <c r="AL151" s="164"/>
      <c r="AM151" s="164"/>
      <c r="AN151" s="164"/>
      <c r="AO151" s="164"/>
      <c r="AP151" s="164"/>
      <c r="AQ151" s="164"/>
      <c r="AR151" s="164"/>
      <c r="AS151" s="164"/>
      <c r="AT151" s="164"/>
      <c r="AU151" s="164"/>
      <c r="AV151" s="164"/>
      <c r="AW151" s="164"/>
      <c r="AX151" s="164"/>
      <c r="AY151" s="164"/>
      <c r="AZ151" s="164"/>
      <c r="BA151" s="164"/>
      <c r="BB151" s="164"/>
      <c r="BC151" s="164"/>
      <c r="BD151" s="164"/>
      <c r="BE151" s="164"/>
      <c r="BF151" s="164"/>
      <c r="BG151" s="164"/>
      <c r="BH151" s="164"/>
      <c r="BI151" s="164"/>
    </row>
    <row r="152" ht="15.75" customHeight="1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4"/>
      <c r="AG152" s="164"/>
      <c r="AH152" s="164"/>
      <c r="AI152" s="164"/>
      <c r="AJ152" s="164"/>
      <c r="AK152" s="164"/>
      <c r="AL152" s="164"/>
      <c r="AM152" s="164"/>
      <c r="AN152" s="164"/>
      <c r="AO152" s="164"/>
      <c r="AP152" s="164"/>
      <c r="AQ152" s="164"/>
      <c r="AR152" s="164"/>
      <c r="AS152" s="164"/>
      <c r="AT152" s="164"/>
      <c r="AU152" s="164"/>
      <c r="AV152" s="164"/>
      <c r="AW152" s="164"/>
      <c r="AX152" s="164"/>
      <c r="AY152" s="164"/>
      <c r="AZ152" s="164"/>
      <c r="BA152" s="164"/>
      <c r="BB152" s="164"/>
      <c r="BC152" s="164"/>
      <c r="BD152" s="164"/>
      <c r="BE152" s="164"/>
      <c r="BF152" s="164"/>
      <c r="BG152" s="164"/>
      <c r="BH152" s="164"/>
      <c r="BI152" s="164"/>
    </row>
    <row r="153" ht="15.75" customHeight="1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  <c r="AD153" s="164"/>
      <c r="AE153" s="164"/>
      <c r="AF153" s="164"/>
      <c r="AG153" s="164"/>
      <c r="AH153" s="164"/>
      <c r="AI153" s="164"/>
      <c r="AJ153" s="164"/>
      <c r="AK153" s="164"/>
      <c r="AL153" s="164"/>
      <c r="AM153" s="164"/>
      <c r="AN153" s="164"/>
      <c r="AO153" s="164"/>
      <c r="AP153" s="164"/>
      <c r="AQ153" s="164"/>
      <c r="AR153" s="164"/>
      <c r="AS153" s="164"/>
      <c r="AT153" s="164"/>
      <c r="AU153" s="164"/>
      <c r="AV153" s="164"/>
      <c r="AW153" s="164"/>
      <c r="AX153" s="164"/>
      <c r="AY153" s="164"/>
      <c r="AZ153" s="164"/>
      <c r="BA153" s="164"/>
      <c r="BB153" s="164"/>
      <c r="BC153" s="164"/>
      <c r="BD153" s="164"/>
      <c r="BE153" s="164"/>
      <c r="BF153" s="164"/>
      <c r="BG153" s="164"/>
      <c r="BH153" s="164"/>
      <c r="BI153" s="164"/>
    </row>
    <row r="154" ht="15.75" customHeight="1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  <c r="AD154" s="164"/>
      <c r="AE154" s="164"/>
      <c r="AF154" s="164"/>
      <c r="AG154" s="164"/>
      <c r="AH154" s="164"/>
      <c r="AI154" s="164"/>
      <c r="AJ154" s="164"/>
      <c r="AK154" s="164"/>
      <c r="AL154" s="164"/>
      <c r="AM154" s="164"/>
      <c r="AN154" s="164"/>
      <c r="AO154" s="164"/>
      <c r="AP154" s="164"/>
      <c r="AQ154" s="164"/>
      <c r="AR154" s="164"/>
      <c r="AS154" s="164"/>
      <c r="AT154" s="164"/>
      <c r="AU154" s="164"/>
      <c r="AV154" s="164"/>
      <c r="AW154" s="164"/>
      <c r="AX154" s="164"/>
      <c r="AY154" s="164"/>
      <c r="AZ154" s="164"/>
      <c r="BA154" s="164"/>
      <c r="BB154" s="164"/>
      <c r="BC154" s="164"/>
      <c r="BD154" s="164"/>
      <c r="BE154" s="164"/>
      <c r="BF154" s="164"/>
      <c r="BG154" s="164"/>
      <c r="BH154" s="164"/>
      <c r="BI154" s="164"/>
    </row>
    <row r="155" ht="15.75" customHeight="1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  <c r="AD155" s="164"/>
      <c r="AE155" s="164"/>
      <c r="AF155" s="164"/>
      <c r="AG155" s="164"/>
      <c r="AH155" s="164"/>
      <c r="AI155" s="164"/>
      <c r="AJ155" s="164"/>
      <c r="AK155" s="164"/>
      <c r="AL155" s="164"/>
      <c r="AM155" s="164"/>
      <c r="AN155" s="164"/>
      <c r="AO155" s="164"/>
      <c r="AP155" s="164"/>
      <c r="AQ155" s="164"/>
      <c r="AR155" s="164"/>
      <c r="AS155" s="164"/>
      <c r="AT155" s="164"/>
      <c r="AU155" s="164"/>
      <c r="AV155" s="164"/>
      <c r="AW155" s="164"/>
      <c r="AX155" s="164"/>
      <c r="AY155" s="164"/>
      <c r="AZ155" s="164"/>
      <c r="BA155" s="164"/>
      <c r="BB155" s="164"/>
      <c r="BC155" s="164"/>
      <c r="BD155" s="164"/>
      <c r="BE155" s="164"/>
      <c r="BF155" s="164"/>
      <c r="BG155" s="164"/>
      <c r="BH155" s="164"/>
      <c r="BI155" s="164"/>
    </row>
    <row r="156" ht="15.75" customHeight="1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  <c r="AD156" s="164"/>
      <c r="AE156" s="164"/>
      <c r="AF156" s="164"/>
      <c r="AG156" s="164"/>
      <c r="AH156" s="164"/>
      <c r="AI156" s="164"/>
      <c r="AJ156" s="164"/>
      <c r="AK156" s="164"/>
      <c r="AL156" s="164"/>
      <c r="AM156" s="164"/>
      <c r="AN156" s="164"/>
      <c r="AO156" s="164"/>
      <c r="AP156" s="164"/>
      <c r="AQ156" s="164"/>
      <c r="AR156" s="164"/>
      <c r="AS156" s="164"/>
      <c r="AT156" s="164"/>
      <c r="AU156" s="164"/>
      <c r="AV156" s="164"/>
      <c r="AW156" s="164"/>
      <c r="AX156" s="164"/>
      <c r="AY156" s="164"/>
      <c r="AZ156" s="164"/>
      <c r="BA156" s="164"/>
      <c r="BB156" s="164"/>
      <c r="BC156" s="164"/>
      <c r="BD156" s="164"/>
      <c r="BE156" s="164"/>
      <c r="BF156" s="164"/>
      <c r="BG156" s="164"/>
      <c r="BH156" s="164"/>
      <c r="BI156" s="164"/>
    </row>
    <row r="157" ht="15.75" customHeight="1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  <c r="AD157" s="164"/>
      <c r="AE157" s="164"/>
      <c r="AF157" s="164"/>
      <c r="AG157" s="164"/>
      <c r="AH157" s="164"/>
      <c r="AI157" s="164"/>
      <c r="AJ157" s="164"/>
      <c r="AK157" s="164"/>
      <c r="AL157" s="164"/>
      <c r="AM157" s="164"/>
      <c r="AN157" s="164"/>
      <c r="AO157" s="164"/>
      <c r="AP157" s="164"/>
      <c r="AQ157" s="164"/>
      <c r="AR157" s="164"/>
      <c r="AS157" s="164"/>
      <c r="AT157" s="164"/>
      <c r="AU157" s="164"/>
      <c r="AV157" s="164"/>
      <c r="AW157" s="164"/>
      <c r="AX157" s="164"/>
      <c r="AY157" s="164"/>
      <c r="AZ157" s="164"/>
      <c r="BA157" s="164"/>
      <c r="BB157" s="164"/>
      <c r="BC157" s="164"/>
      <c r="BD157" s="164"/>
      <c r="BE157" s="164"/>
      <c r="BF157" s="164"/>
      <c r="BG157" s="164"/>
      <c r="BH157" s="164"/>
      <c r="BI157" s="164"/>
    </row>
    <row r="158" ht="15.75" customHeight="1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  <c r="AD158" s="164"/>
      <c r="AE158" s="164"/>
      <c r="AF158" s="164"/>
      <c r="AG158" s="164"/>
      <c r="AH158" s="164"/>
      <c r="AI158" s="164"/>
      <c r="AJ158" s="164"/>
      <c r="AK158" s="164"/>
      <c r="AL158" s="164"/>
      <c r="AM158" s="164"/>
      <c r="AN158" s="164"/>
      <c r="AO158" s="164"/>
      <c r="AP158" s="164"/>
      <c r="AQ158" s="164"/>
      <c r="AR158" s="164"/>
      <c r="AS158" s="164"/>
      <c r="AT158" s="164"/>
      <c r="AU158" s="164"/>
      <c r="AV158" s="164"/>
      <c r="AW158" s="164"/>
      <c r="AX158" s="164"/>
      <c r="AY158" s="164"/>
      <c r="AZ158" s="164"/>
      <c r="BA158" s="164"/>
      <c r="BB158" s="164"/>
      <c r="BC158" s="164"/>
      <c r="BD158" s="164"/>
      <c r="BE158" s="164"/>
      <c r="BF158" s="164"/>
      <c r="BG158" s="164"/>
      <c r="BH158" s="164"/>
      <c r="BI158" s="164"/>
    </row>
    <row r="159" ht="15.75" customHeight="1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  <c r="AD159" s="164"/>
      <c r="AE159" s="164"/>
      <c r="AF159" s="164"/>
      <c r="AG159" s="164"/>
      <c r="AH159" s="164"/>
      <c r="AI159" s="164"/>
      <c r="AJ159" s="164"/>
      <c r="AK159" s="164"/>
      <c r="AL159" s="164"/>
      <c r="AM159" s="164"/>
      <c r="AN159" s="164"/>
      <c r="AO159" s="164"/>
      <c r="AP159" s="164"/>
      <c r="AQ159" s="164"/>
      <c r="AR159" s="164"/>
      <c r="AS159" s="164"/>
      <c r="AT159" s="164"/>
      <c r="AU159" s="164"/>
      <c r="AV159" s="164"/>
      <c r="AW159" s="164"/>
      <c r="AX159" s="164"/>
      <c r="AY159" s="164"/>
      <c r="AZ159" s="164"/>
      <c r="BA159" s="164"/>
      <c r="BB159" s="164"/>
      <c r="BC159" s="164"/>
      <c r="BD159" s="164"/>
      <c r="BE159" s="164"/>
      <c r="BF159" s="164"/>
      <c r="BG159" s="164"/>
      <c r="BH159" s="164"/>
      <c r="BI159" s="164"/>
    </row>
    <row r="160" ht="15.75" customHeight="1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  <c r="AD160" s="164"/>
      <c r="AE160" s="164"/>
      <c r="AF160" s="164"/>
      <c r="AG160" s="164"/>
      <c r="AH160" s="164"/>
      <c r="AI160" s="164"/>
      <c r="AJ160" s="164"/>
      <c r="AK160" s="164"/>
      <c r="AL160" s="164"/>
      <c r="AM160" s="164"/>
      <c r="AN160" s="164"/>
      <c r="AO160" s="164"/>
      <c r="AP160" s="164"/>
      <c r="AQ160" s="164"/>
      <c r="AR160" s="164"/>
      <c r="AS160" s="164"/>
      <c r="AT160" s="164"/>
      <c r="AU160" s="164"/>
      <c r="AV160" s="164"/>
      <c r="AW160" s="164"/>
      <c r="AX160" s="164"/>
      <c r="AY160" s="164"/>
      <c r="AZ160" s="164"/>
      <c r="BA160" s="164"/>
      <c r="BB160" s="164"/>
      <c r="BC160" s="164"/>
      <c r="BD160" s="164"/>
      <c r="BE160" s="164"/>
      <c r="BF160" s="164"/>
      <c r="BG160" s="164"/>
      <c r="BH160" s="164"/>
      <c r="BI160" s="164"/>
    </row>
    <row r="161" ht="15.75" customHeight="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  <c r="AD161" s="164"/>
      <c r="AE161" s="164"/>
      <c r="AF161" s="164"/>
      <c r="AG161" s="164"/>
      <c r="AH161" s="164"/>
      <c r="AI161" s="164"/>
      <c r="AJ161" s="164"/>
      <c r="AK161" s="164"/>
      <c r="AL161" s="164"/>
      <c r="AM161" s="164"/>
      <c r="AN161" s="164"/>
      <c r="AO161" s="164"/>
      <c r="AP161" s="164"/>
      <c r="AQ161" s="164"/>
      <c r="AR161" s="164"/>
      <c r="AS161" s="164"/>
      <c r="AT161" s="164"/>
      <c r="AU161" s="164"/>
      <c r="AV161" s="164"/>
      <c r="AW161" s="164"/>
      <c r="AX161" s="164"/>
      <c r="AY161" s="164"/>
      <c r="AZ161" s="164"/>
      <c r="BA161" s="164"/>
      <c r="BB161" s="164"/>
      <c r="BC161" s="164"/>
      <c r="BD161" s="164"/>
      <c r="BE161" s="164"/>
      <c r="BF161" s="164"/>
      <c r="BG161" s="164"/>
      <c r="BH161" s="164"/>
      <c r="BI161" s="164"/>
    </row>
    <row r="162" ht="15.75" customHeight="1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  <c r="AD162" s="164"/>
      <c r="AE162" s="164"/>
      <c r="AF162" s="164"/>
      <c r="AG162" s="164"/>
      <c r="AH162" s="164"/>
      <c r="AI162" s="164"/>
      <c r="AJ162" s="164"/>
      <c r="AK162" s="164"/>
      <c r="AL162" s="164"/>
      <c r="AM162" s="164"/>
      <c r="AN162" s="164"/>
      <c r="AO162" s="164"/>
      <c r="AP162" s="164"/>
      <c r="AQ162" s="164"/>
      <c r="AR162" s="164"/>
      <c r="AS162" s="164"/>
      <c r="AT162" s="164"/>
      <c r="AU162" s="164"/>
      <c r="AV162" s="164"/>
      <c r="AW162" s="164"/>
      <c r="AX162" s="164"/>
      <c r="AY162" s="164"/>
      <c r="AZ162" s="164"/>
      <c r="BA162" s="164"/>
      <c r="BB162" s="164"/>
      <c r="BC162" s="164"/>
      <c r="BD162" s="164"/>
      <c r="BE162" s="164"/>
      <c r="BF162" s="164"/>
      <c r="BG162" s="164"/>
      <c r="BH162" s="164"/>
      <c r="BI162" s="164"/>
    </row>
    <row r="163" ht="15.75" customHeight="1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  <c r="AE163" s="164"/>
      <c r="AF163" s="164"/>
      <c r="AG163" s="164"/>
      <c r="AH163" s="164"/>
      <c r="AI163" s="164"/>
      <c r="AJ163" s="164"/>
      <c r="AK163" s="164"/>
      <c r="AL163" s="164"/>
      <c r="AM163" s="164"/>
      <c r="AN163" s="164"/>
      <c r="AO163" s="164"/>
      <c r="AP163" s="164"/>
      <c r="AQ163" s="164"/>
      <c r="AR163" s="164"/>
      <c r="AS163" s="164"/>
      <c r="AT163" s="164"/>
      <c r="AU163" s="164"/>
      <c r="AV163" s="164"/>
      <c r="AW163" s="164"/>
      <c r="AX163" s="164"/>
      <c r="AY163" s="164"/>
      <c r="AZ163" s="164"/>
      <c r="BA163" s="164"/>
      <c r="BB163" s="164"/>
      <c r="BC163" s="164"/>
      <c r="BD163" s="164"/>
      <c r="BE163" s="164"/>
      <c r="BF163" s="164"/>
      <c r="BG163" s="164"/>
      <c r="BH163" s="164"/>
      <c r="BI163" s="164"/>
    </row>
    <row r="164" ht="15.75" customHeight="1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  <c r="AE164" s="164"/>
      <c r="AF164" s="164"/>
      <c r="AG164" s="164"/>
      <c r="AH164" s="164"/>
      <c r="AI164" s="164"/>
      <c r="AJ164" s="164"/>
      <c r="AK164" s="164"/>
      <c r="AL164" s="164"/>
      <c r="AM164" s="164"/>
      <c r="AN164" s="164"/>
      <c r="AO164" s="164"/>
      <c r="AP164" s="164"/>
      <c r="AQ164" s="164"/>
      <c r="AR164" s="164"/>
      <c r="AS164" s="164"/>
      <c r="AT164" s="164"/>
      <c r="AU164" s="164"/>
      <c r="AV164" s="164"/>
      <c r="AW164" s="164"/>
      <c r="AX164" s="164"/>
      <c r="AY164" s="164"/>
      <c r="AZ164" s="164"/>
      <c r="BA164" s="164"/>
      <c r="BB164" s="164"/>
      <c r="BC164" s="164"/>
      <c r="BD164" s="164"/>
      <c r="BE164" s="164"/>
      <c r="BF164" s="164"/>
      <c r="BG164" s="164"/>
      <c r="BH164" s="164"/>
      <c r="BI164" s="164"/>
    </row>
    <row r="165" ht="15.75" customHeight="1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  <c r="AD165" s="164"/>
      <c r="AE165" s="164"/>
      <c r="AF165" s="164"/>
      <c r="AG165" s="164"/>
      <c r="AH165" s="164"/>
      <c r="AI165" s="164"/>
      <c r="AJ165" s="164"/>
      <c r="AK165" s="164"/>
      <c r="AL165" s="164"/>
      <c r="AM165" s="164"/>
      <c r="AN165" s="164"/>
      <c r="AO165" s="164"/>
      <c r="AP165" s="164"/>
      <c r="AQ165" s="164"/>
      <c r="AR165" s="164"/>
      <c r="AS165" s="164"/>
      <c r="AT165" s="164"/>
      <c r="AU165" s="164"/>
      <c r="AV165" s="164"/>
      <c r="AW165" s="164"/>
      <c r="AX165" s="164"/>
      <c r="AY165" s="164"/>
      <c r="AZ165" s="164"/>
      <c r="BA165" s="164"/>
      <c r="BB165" s="164"/>
      <c r="BC165" s="164"/>
      <c r="BD165" s="164"/>
      <c r="BE165" s="164"/>
      <c r="BF165" s="164"/>
      <c r="BG165" s="164"/>
      <c r="BH165" s="164"/>
      <c r="BI165" s="164"/>
    </row>
    <row r="166" ht="15.75" customHeight="1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  <c r="AD166" s="164"/>
      <c r="AE166" s="164"/>
      <c r="AF166" s="164"/>
      <c r="AG166" s="164"/>
      <c r="AH166" s="164"/>
      <c r="AI166" s="164"/>
      <c r="AJ166" s="164"/>
      <c r="AK166" s="164"/>
      <c r="AL166" s="164"/>
      <c r="AM166" s="164"/>
      <c r="AN166" s="164"/>
      <c r="AO166" s="164"/>
      <c r="AP166" s="164"/>
      <c r="AQ166" s="164"/>
      <c r="AR166" s="164"/>
      <c r="AS166" s="164"/>
      <c r="AT166" s="164"/>
      <c r="AU166" s="164"/>
      <c r="AV166" s="164"/>
      <c r="AW166" s="164"/>
      <c r="AX166" s="164"/>
      <c r="AY166" s="164"/>
      <c r="AZ166" s="164"/>
      <c r="BA166" s="164"/>
      <c r="BB166" s="164"/>
      <c r="BC166" s="164"/>
      <c r="BD166" s="164"/>
      <c r="BE166" s="164"/>
      <c r="BF166" s="164"/>
      <c r="BG166" s="164"/>
      <c r="BH166" s="164"/>
      <c r="BI166" s="164"/>
    </row>
    <row r="167" ht="15.75" customHeight="1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64"/>
      <c r="AJ167" s="164"/>
      <c r="AK167" s="164"/>
      <c r="AL167" s="164"/>
      <c r="AM167" s="164"/>
      <c r="AN167" s="164"/>
      <c r="AO167" s="164"/>
      <c r="AP167" s="164"/>
      <c r="AQ167" s="164"/>
      <c r="AR167" s="164"/>
      <c r="AS167" s="164"/>
      <c r="AT167" s="164"/>
      <c r="AU167" s="164"/>
      <c r="AV167" s="164"/>
      <c r="AW167" s="164"/>
      <c r="AX167" s="164"/>
      <c r="AY167" s="164"/>
      <c r="AZ167" s="164"/>
      <c r="BA167" s="164"/>
      <c r="BB167" s="164"/>
      <c r="BC167" s="164"/>
      <c r="BD167" s="164"/>
      <c r="BE167" s="164"/>
      <c r="BF167" s="164"/>
      <c r="BG167" s="164"/>
      <c r="BH167" s="164"/>
      <c r="BI167" s="164"/>
    </row>
    <row r="168" ht="15.75" customHeight="1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  <c r="AG168" s="164"/>
      <c r="AH168" s="164"/>
      <c r="AI168" s="164"/>
      <c r="AJ168" s="164"/>
      <c r="AK168" s="164"/>
      <c r="AL168" s="164"/>
      <c r="AM168" s="164"/>
      <c r="AN168" s="164"/>
      <c r="AO168" s="164"/>
      <c r="AP168" s="164"/>
      <c r="AQ168" s="164"/>
      <c r="AR168" s="164"/>
      <c r="AS168" s="164"/>
      <c r="AT168" s="164"/>
      <c r="AU168" s="164"/>
      <c r="AV168" s="164"/>
      <c r="AW168" s="164"/>
      <c r="AX168" s="164"/>
      <c r="AY168" s="164"/>
      <c r="AZ168" s="164"/>
      <c r="BA168" s="164"/>
      <c r="BB168" s="164"/>
      <c r="BC168" s="164"/>
      <c r="BD168" s="164"/>
      <c r="BE168" s="164"/>
      <c r="BF168" s="164"/>
      <c r="BG168" s="164"/>
      <c r="BH168" s="164"/>
      <c r="BI168" s="164"/>
    </row>
    <row r="169" ht="15.75" customHeight="1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  <c r="AD169" s="164"/>
      <c r="AE169" s="164"/>
      <c r="AF169" s="164"/>
      <c r="AG169" s="164"/>
      <c r="AH169" s="164"/>
      <c r="AI169" s="164"/>
      <c r="AJ169" s="164"/>
      <c r="AK169" s="164"/>
      <c r="AL169" s="164"/>
      <c r="AM169" s="164"/>
      <c r="AN169" s="164"/>
      <c r="AO169" s="164"/>
      <c r="AP169" s="164"/>
      <c r="AQ169" s="164"/>
      <c r="AR169" s="164"/>
      <c r="AS169" s="164"/>
      <c r="AT169" s="164"/>
      <c r="AU169" s="164"/>
      <c r="AV169" s="164"/>
      <c r="AW169" s="164"/>
      <c r="AX169" s="164"/>
      <c r="AY169" s="164"/>
      <c r="AZ169" s="164"/>
      <c r="BA169" s="164"/>
      <c r="BB169" s="164"/>
      <c r="BC169" s="164"/>
      <c r="BD169" s="164"/>
      <c r="BE169" s="164"/>
      <c r="BF169" s="164"/>
      <c r="BG169" s="164"/>
      <c r="BH169" s="164"/>
      <c r="BI169" s="164"/>
    </row>
    <row r="170" ht="15.75" customHeight="1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  <c r="AC170" s="164"/>
      <c r="AD170" s="164"/>
      <c r="AE170" s="164"/>
      <c r="AF170" s="164"/>
      <c r="AG170" s="164"/>
      <c r="AH170" s="164"/>
      <c r="AI170" s="164"/>
      <c r="AJ170" s="164"/>
      <c r="AK170" s="164"/>
      <c r="AL170" s="164"/>
      <c r="AM170" s="164"/>
      <c r="AN170" s="164"/>
      <c r="AO170" s="164"/>
      <c r="AP170" s="164"/>
      <c r="AQ170" s="164"/>
      <c r="AR170" s="164"/>
      <c r="AS170" s="164"/>
      <c r="AT170" s="164"/>
      <c r="AU170" s="164"/>
      <c r="AV170" s="164"/>
      <c r="AW170" s="164"/>
      <c r="AX170" s="164"/>
      <c r="AY170" s="164"/>
      <c r="AZ170" s="164"/>
      <c r="BA170" s="164"/>
      <c r="BB170" s="164"/>
      <c r="BC170" s="164"/>
      <c r="BD170" s="164"/>
      <c r="BE170" s="164"/>
      <c r="BF170" s="164"/>
      <c r="BG170" s="164"/>
      <c r="BH170" s="164"/>
      <c r="BI170" s="164"/>
    </row>
    <row r="171" ht="15.75" customHeight="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  <c r="AK171" s="164"/>
      <c r="AL171" s="164"/>
      <c r="AM171" s="164"/>
      <c r="AN171" s="164"/>
      <c r="AO171" s="164"/>
      <c r="AP171" s="164"/>
      <c r="AQ171" s="164"/>
      <c r="AR171" s="164"/>
      <c r="AS171" s="164"/>
      <c r="AT171" s="164"/>
      <c r="AU171" s="164"/>
      <c r="AV171" s="164"/>
      <c r="AW171" s="164"/>
      <c r="AX171" s="164"/>
      <c r="AY171" s="164"/>
      <c r="AZ171" s="164"/>
      <c r="BA171" s="164"/>
      <c r="BB171" s="164"/>
      <c r="BC171" s="164"/>
      <c r="BD171" s="164"/>
      <c r="BE171" s="164"/>
      <c r="BF171" s="164"/>
      <c r="BG171" s="164"/>
      <c r="BH171" s="164"/>
      <c r="BI171" s="164"/>
    </row>
    <row r="172" ht="15.75" customHeight="1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  <c r="AD172" s="164"/>
      <c r="AE172" s="164"/>
      <c r="AF172" s="164"/>
      <c r="AG172" s="164"/>
      <c r="AH172" s="164"/>
      <c r="AI172" s="164"/>
      <c r="AJ172" s="164"/>
      <c r="AK172" s="164"/>
      <c r="AL172" s="164"/>
      <c r="AM172" s="164"/>
      <c r="AN172" s="164"/>
      <c r="AO172" s="164"/>
      <c r="AP172" s="164"/>
      <c r="AQ172" s="164"/>
      <c r="AR172" s="164"/>
      <c r="AS172" s="164"/>
      <c r="AT172" s="164"/>
      <c r="AU172" s="164"/>
      <c r="AV172" s="164"/>
      <c r="AW172" s="164"/>
      <c r="AX172" s="164"/>
      <c r="AY172" s="164"/>
      <c r="AZ172" s="164"/>
      <c r="BA172" s="164"/>
      <c r="BB172" s="164"/>
      <c r="BC172" s="164"/>
      <c r="BD172" s="164"/>
      <c r="BE172" s="164"/>
      <c r="BF172" s="164"/>
      <c r="BG172" s="164"/>
      <c r="BH172" s="164"/>
      <c r="BI172" s="164"/>
    </row>
    <row r="173" ht="15.75" customHeight="1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  <c r="AD173" s="164"/>
      <c r="AE173" s="164"/>
      <c r="AF173" s="164"/>
      <c r="AG173" s="164"/>
      <c r="AH173" s="164"/>
      <c r="AI173" s="164"/>
      <c r="AJ173" s="164"/>
      <c r="AK173" s="164"/>
      <c r="AL173" s="164"/>
      <c r="AM173" s="164"/>
      <c r="AN173" s="164"/>
      <c r="AO173" s="164"/>
      <c r="AP173" s="164"/>
      <c r="AQ173" s="164"/>
      <c r="AR173" s="164"/>
      <c r="AS173" s="164"/>
      <c r="AT173" s="164"/>
      <c r="AU173" s="164"/>
      <c r="AV173" s="164"/>
      <c r="AW173" s="164"/>
      <c r="AX173" s="164"/>
      <c r="AY173" s="164"/>
      <c r="AZ173" s="164"/>
      <c r="BA173" s="164"/>
      <c r="BB173" s="164"/>
      <c r="BC173" s="164"/>
      <c r="BD173" s="164"/>
      <c r="BE173" s="164"/>
      <c r="BF173" s="164"/>
      <c r="BG173" s="164"/>
      <c r="BH173" s="164"/>
      <c r="BI173" s="164"/>
    </row>
    <row r="174" ht="15.75" customHeight="1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  <c r="AD174" s="164"/>
      <c r="AE174" s="164"/>
      <c r="AF174" s="164"/>
      <c r="AG174" s="164"/>
      <c r="AH174" s="164"/>
      <c r="AI174" s="164"/>
      <c r="AJ174" s="164"/>
      <c r="AK174" s="164"/>
      <c r="AL174" s="164"/>
      <c r="AM174" s="164"/>
      <c r="AN174" s="164"/>
      <c r="AO174" s="164"/>
      <c r="AP174" s="164"/>
      <c r="AQ174" s="164"/>
      <c r="AR174" s="164"/>
      <c r="AS174" s="164"/>
      <c r="AT174" s="164"/>
      <c r="AU174" s="164"/>
      <c r="AV174" s="164"/>
      <c r="AW174" s="164"/>
      <c r="AX174" s="164"/>
      <c r="AY174" s="164"/>
      <c r="AZ174" s="164"/>
      <c r="BA174" s="164"/>
      <c r="BB174" s="164"/>
      <c r="BC174" s="164"/>
      <c r="BD174" s="164"/>
      <c r="BE174" s="164"/>
      <c r="BF174" s="164"/>
      <c r="BG174" s="164"/>
      <c r="BH174" s="164"/>
      <c r="BI174" s="164"/>
    </row>
    <row r="175" ht="15.75" customHeight="1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  <c r="AD175" s="164"/>
      <c r="AE175" s="164"/>
      <c r="AF175" s="164"/>
      <c r="AG175" s="164"/>
      <c r="AH175" s="164"/>
      <c r="AI175" s="164"/>
      <c r="AJ175" s="164"/>
      <c r="AK175" s="164"/>
      <c r="AL175" s="164"/>
      <c r="AM175" s="164"/>
      <c r="AN175" s="164"/>
      <c r="AO175" s="164"/>
      <c r="AP175" s="164"/>
      <c r="AQ175" s="164"/>
      <c r="AR175" s="164"/>
      <c r="AS175" s="164"/>
      <c r="AT175" s="164"/>
      <c r="AU175" s="164"/>
      <c r="AV175" s="164"/>
      <c r="AW175" s="164"/>
      <c r="AX175" s="164"/>
      <c r="AY175" s="164"/>
      <c r="AZ175" s="164"/>
      <c r="BA175" s="164"/>
      <c r="BB175" s="164"/>
      <c r="BC175" s="164"/>
      <c r="BD175" s="164"/>
      <c r="BE175" s="164"/>
      <c r="BF175" s="164"/>
      <c r="BG175" s="164"/>
      <c r="BH175" s="164"/>
      <c r="BI175" s="164"/>
    </row>
    <row r="176" ht="15.75" customHeight="1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  <c r="AE176" s="164"/>
      <c r="AF176" s="164"/>
      <c r="AG176" s="164"/>
      <c r="AH176" s="164"/>
      <c r="AI176" s="164"/>
      <c r="AJ176" s="164"/>
      <c r="AK176" s="164"/>
      <c r="AL176" s="164"/>
      <c r="AM176" s="164"/>
      <c r="AN176" s="164"/>
      <c r="AO176" s="164"/>
      <c r="AP176" s="164"/>
      <c r="AQ176" s="164"/>
      <c r="AR176" s="164"/>
      <c r="AS176" s="164"/>
      <c r="AT176" s="164"/>
      <c r="AU176" s="164"/>
      <c r="AV176" s="164"/>
      <c r="AW176" s="164"/>
      <c r="AX176" s="164"/>
      <c r="AY176" s="164"/>
      <c r="AZ176" s="164"/>
      <c r="BA176" s="164"/>
      <c r="BB176" s="164"/>
      <c r="BC176" s="164"/>
      <c r="BD176" s="164"/>
      <c r="BE176" s="164"/>
      <c r="BF176" s="164"/>
      <c r="BG176" s="164"/>
      <c r="BH176" s="164"/>
      <c r="BI176" s="164"/>
    </row>
    <row r="177" ht="15.75" customHeight="1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  <c r="AD177" s="164"/>
      <c r="AE177" s="164"/>
      <c r="AF177" s="164"/>
      <c r="AG177" s="164"/>
      <c r="AH177" s="164"/>
      <c r="AI177" s="164"/>
      <c r="AJ177" s="164"/>
      <c r="AK177" s="164"/>
      <c r="AL177" s="164"/>
      <c r="AM177" s="164"/>
      <c r="AN177" s="164"/>
      <c r="AO177" s="164"/>
      <c r="AP177" s="164"/>
      <c r="AQ177" s="164"/>
      <c r="AR177" s="164"/>
      <c r="AS177" s="164"/>
      <c r="AT177" s="164"/>
      <c r="AU177" s="164"/>
      <c r="AV177" s="164"/>
      <c r="AW177" s="164"/>
      <c r="AX177" s="164"/>
      <c r="AY177" s="164"/>
      <c r="AZ177" s="164"/>
      <c r="BA177" s="164"/>
      <c r="BB177" s="164"/>
      <c r="BC177" s="164"/>
      <c r="BD177" s="164"/>
      <c r="BE177" s="164"/>
      <c r="BF177" s="164"/>
      <c r="BG177" s="164"/>
      <c r="BH177" s="164"/>
      <c r="BI177" s="164"/>
    </row>
    <row r="178" ht="15.75" customHeight="1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  <c r="AD178" s="164"/>
      <c r="AE178" s="164"/>
      <c r="AF178" s="164"/>
      <c r="AG178" s="164"/>
      <c r="AH178" s="164"/>
      <c r="AI178" s="164"/>
      <c r="AJ178" s="164"/>
      <c r="AK178" s="164"/>
      <c r="AL178" s="164"/>
      <c r="AM178" s="164"/>
      <c r="AN178" s="164"/>
      <c r="AO178" s="164"/>
      <c r="AP178" s="164"/>
      <c r="AQ178" s="164"/>
      <c r="AR178" s="164"/>
      <c r="AS178" s="164"/>
      <c r="AT178" s="164"/>
      <c r="AU178" s="164"/>
      <c r="AV178" s="164"/>
      <c r="AW178" s="164"/>
      <c r="AX178" s="164"/>
      <c r="AY178" s="164"/>
      <c r="AZ178" s="164"/>
      <c r="BA178" s="164"/>
      <c r="BB178" s="164"/>
      <c r="BC178" s="164"/>
      <c r="BD178" s="164"/>
      <c r="BE178" s="164"/>
      <c r="BF178" s="164"/>
      <c r="BG178" s="164"/>
      <c r="BH178" s="164"/>
      <c r="BI178" s="164"/>
    </row>
    <row r="179" ht="15.75" customHeight="1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  <c r="AD179" s="164"/>
      <c r="AE179" s="164"/>
      <c r="AF179" s="164"/>
      <c r="AG179" s="164"/>
      <c r="AH179" s="164"/>
      <c r="AI179" s="164"/>
      <c r="AJ179" s="164"/>
      <c r="AK179" s="164"/>
      <c r="AL179" s="164"/>
      <c r="AM179" s="164"/>
      <c r="AN179" s="164"/>
      <c r="AO179" s="164"/>
      <c r="AP179" s="164"/>
      <c r="AQ179" s="164"/>
      <c r="AR179" s="164"/>
      <c r="AS179" s="164"/>
      <c r="AT179" s="164"/>
      <c r="AU179" s="164"/>
      <c r="AV179" s="164"/>
      <c r="AW179" s="164"/>
      <c r="AX179" s="164"/>
      <c r="AY179" s="164"/>
      <c r="AZ179" s="164"/>
      <c r="BA179" s="164"/>
      <c r="BB179" s="164"/>
      <c r="BC179" s="164"/>
      <c r="BD179" s="164"/>
      <c r="BE179" s="164"/>
      <c r="BF179" s="164"/>
      <c r="BG179" s="164"/>
      <c r="BH179" s="164"/>
      <c r="BI179" s="164"/>
    </row>
    <row r="180" ht="15.75" customHeight="1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  <c r="AD180" s="164"/>
      <c r="AE180" s="164"/>
      <c r="AF180" s="164"/>
      <c r="AG180" s="164"/>
      <c r="AH180" s="164"/>
      <c r="AI180" s="164"/>
      <c r="AJ180" s="164"/>
      <c r="AK180" s="164"/>
      <c r="AL180" s="164"/>
      <c r="AM180" s="164"/>
      <c r="AN180" s="164"/>
      <c r="AO180" s="164"/>
      <c r="AP180" s="164"/>
      <c r="AQ180" s="164"/>
      <c r="AR180" s="164"/>
      <c r="AS180" s="164"/>
      <c r="AT180" s="164"/>
      <c r="AU180" s="164"/>
      <c r="AV180" s="164"/>
      <c r="AW180" s="164"/>
      <c r="AX180" s="164"/>
      <c r="AY180" s="164"/>
      <c r="AZ180" s="164"/>
      <c r="BA180" s="164"/>
      <c r="BB180" s="164"/>
      <c r="BC180" s="164"/>
      <c r="BD180" s="164"/>
      <c r="BE180" s="164"/>
      <c r="BF180" s="164"/>
      <c r="BG180" s="164"/>
      <c r="BH180" s="164"/>
      <c r="BI180" s="164"/>
    </row>
    <row r="181" ht="15.75" customHeight="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  <c r="AD181" s="164"/>
      <c r="AE181" s="164"/>
      <c r="AF181" s="164"/>
      <c r="AG181" s="164"/>
      <c r="AH181" s="164"/>
      <c r="AI181" s="164"/>
      <c r="AJ181" s="164"/>
      <c r="AK181" s="164"/>
      <c r="AL181" s="164"/>
      <c r="AM181" s="164"/>
      <c r="AN181" s="164"/>
      <c r="AO181" s="164"/>
      <c r="AP181" s="164"/>
      <c r="AQ181" s="164"/>
      <c r="AR181" s="164"/>
      <c r="AS181" s="164"/>
      <c r="AT181" s="164"/>
      <c r="AU181" s="164"/>
      <c r="AV181" s="164"/>
      <c r="AW181" s="164"/>
      <c r="AX181" s="164"/>
      <c r="AY181" s="164"/>
      <c r="AZ181" s="164"/>
      <c r="BA181" s="164"/>
      <c r="BB181" s="164"/>
      <c r="BC181" s="164"/>
      <c r="BD181" s="164"/>
      <c r="BE181" s="164"/>
      <c r="BF181" s="164"/>
      <c r="BG181" s="164"/>
      <c r="BH181" s="164"/>
      <c r="BI181" s="164"/>
    </row>
    <row r="182" ht="15.75" customHeight="1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  <c r="AD182" s="164"/>
      <c r="AE182" s="164"/>
      <c r="AF182" s="164"/>
      <c r="AG182" s="164"/>
      <c r="AH182" s="164"/>
      <c r="AI182" s="164"/>
      <c r="AJ182" s="164"/>
      <c r="AK182" s="164"/>
      <c r="AL182" s="164"/>
      <c r="AM182" s="164"/>
      <c r="AN182" s="164"/>
      <c r="AO182" s="164"/>
      <c r="AP182" s="164"/>
      <c r="AQ182" s="164"/>
      <c r="AR182" s="164"/>
      <c r="AS182" s="164"/>
      <c r="AT182" s="164"/>
      <c r="AU182" s="164"/>
      <c r="AV182" s="164"/>
      <c r="AW182" s="164"/>
      <c r="AX182" s="164"/>
      <c r="AY182" s="164"/>
      <c r="AZ182" s="164"/>
      <c r="BA182" s="164"/>
      <c r="BB182" s="164"/>
      <c r="BC182" s="164"/>
      <c r="BD182" s="164"/>
      <c r="BE182" s="164"/>
      <c r="BF182" s="164"/>
      <c r="BG182" s="164"/>
      <c r="BH182" s="164"/>
      <c r="BI182" s="164"/>
    </row>
    <row r="183" ht="15.75" customHeight="1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  <c r="AD183" s="164"/>
      <c r="AE183" s="164"/>
      <c r="AF183" s="164"/>
      <c r="AG183" s="164"/>
      <c r="AH183" s="164"/>
      <c r="AI183" s="164"/>
      <c r="AJ183" s="164"/>
      <c r="AK183" s="164"/>
      <c r="AL183" s="164"/>
      <c r="AM183" s="164"/>
      <c r="AN183" s="164"/>
      <c r="AO183" s="164"/>
      <c r="AP183" s="164"/>
      <c r="AQ183" s="164"/>
      <c r="AR183" s="164"/>
      <c r="AS183" s="164"/>
      <c r="AT183" s="164"/>
      <c r="AU183" s="164"/>
      <c r="AV183" s="164"/>
      <c r="AW183" s="164"/>
      <c r="AX183" s="164"/>
      <c r="AY183" s="164"/>
      <c r="AZ183" s="164"/>
      <c r="BA183" s="164"/>
      <c r="BB183" s="164"/>
      <c r="BC183" s="164"/>
      <c r="BD183" s="164"/>
      <c r="BE183" s="164"/>
      <c r="BF183" s="164"/>
      <c r="BG183" s="164"/>
      <c r="BH183" s="164"/>
      <c r="BI183" s="164"/>
    </row>
    <row r="184" ht="15.75" customHeight="1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  <c r="AD184" s="164"/>
      <c r="AE184" s="164"/>
      <c r="AF184" s="164"/>
      <c r="AG184" s="164"/>
      <c r="AH184" s="164"/>
      <c r="AI184" s="164"/>
      <c r="AJ184" s="164"/>
      <c r="AK184" s="164"/>
      <c r="AL184" s="164"/>
      <c r="AM184" s="164"/>
      <c r="AN184" s="164"/>
      <c r="AO184" s="164"/>
      <c r="AP184" s="164"/>
      <c r="AQ184" s="164"/>
      <c r="AR184" s="164"/>
      <c r="AS184" s="164"/>
      <c r="AT184" s="164"/>
      <c r="AU184" s="164"/>
      <c r="AV184" s="164"/>
      <c r="AW184" s="164"/>
      <c r="AX184" s="164"/>
      <c r="AY184" s="164"/>
      <c r="AZ184" s="164"/>
      <c r="BA184" s="164"/>
      <c r="BB184" s="164"/>
      <c r="BC184" s="164"/>
      <c r="BD184" s="164"/>
      <c r="BE184" s="164"/>
      <c r="BF184" s="164"/>
      <c r="BG184" s="164"/>
      <c r="BH184" s="164"/>
      <c r="BI184" s="164"/>
    </row>
    <row r="185" ht="15.75" customHeight="1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  <c r="AG185" s="164"/>
      <c r="AH185" s="164"/>
      <c r="AI185" s="164"/>
      <c r="AJ185" s="164"/>
      <c r="AK185" s="164"/>
      <c r="AL185" s="164"/>
      <c r="AM185" s="164"/>
      <c r="AN185" s="164"/>
      <c r="AO185" s="164"/>
      <c r="AP185" s="164"/>
      <c r="AQ185" s="164"/>
      <c r="AR185" s="164"/>
      <c r="AS185" s="164"/>
      <c r="AT185" s="164"/>
      <c r="AU185" s="164"/>
      <c r="AV185" s="164"/>
      <c r="AW185" s="164"/>
      <c r="AX185" s="164"/>
      <c r="AY185" s="164"/>
      <c r="AZ185" s="164"/>
      <c r="BA185" s="164"/>
      <c r="BB185" s="164"/>
      <c r="BC185" s="164"/>
      <c r="BD185" s="164"/>
      <c r="BE185" s="164"/>
      <c r="BF185" s="164"/>
      <c r="BG185" s="164"/>
      <c r="BH185" s="164"/>
      <c r="BI185" s="164"/>
    </row>
    <row r="186" ht="15.75" customHeight="1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  <c r="AE186" s="164"/>
      <c r="AF186" s="164"/>
      <c r="AG186" s="164"/>
      <c r="AH186" s="164"/>
      <c r="AI186" s="164"/>
      <c r="AJ186" s="164"/>
      <c r="AK186" s="164"/>
      <c r="AL186" s="164"/>
      <c r="AM186" s="164"/>
      <c r="AN186" s="164"/>
      <c r="AO186" s="164"/>
      <c r="AP186" s="164"/>
      <c r="AQ186" s="164"/>
      <c r="AR186" s="164"/>
      <c r="AS186" s="164"/>
      <c r="AT186" s="164"/>
      <c r="AU186" s="164"/>
      <c r="AV186" s="164"/>
      <c r="AW186" s="164"/>
      <c r="AX186" s="164"/>
      <c r="AY186" s="164"/>
      <c r="AZ186" s="164"/>
      <c r="BA186" s="164"/>
      <c r="BB186" s="164"/>
      <c r="BC186" s="164"/>
      <c r="BD186" s="164"/>
      <c r="BE186" s="164"/>
      <c r="BF186" s="164"/>
      <c r="BG186" s="164"/>
      <c r="BH186" s="164"/>
      <c r="BI186" s="164"/>
    </row>
    <row r="187" ht="15.75" customHeight="1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  <c r="AD187" s="164"/>
      <c r="AE187" s="164"/>
      <c r="AF187" s="164"/>
      <c r="AG187" s="164"/>
      <c r="AH187" s="164"/>
      <c r="AI187" s="164"/>
      <c r="AJ187" s="164"/>
      <c r="AK187" s="164"/>
      <c r="AL187" s="164"/>
      <c r="AM187" s="164"/>
      <c r="AN187" s="164"/>
      <c r="AO187" s="164"/>
      <c r="AP187" s="164"/>
      <c r="AQ187" s="164"/>
      <c r="AR187" s="164"/>
      <c r="AS187" s="164"/>
      <c r="AT187" s="164"/>
      <c r="AU187" s="164"/>
      <c r="AV187" s="164"/>
      <c r="AW187" s="164"/>
      <c r="AX187" s="164"/>
      <c r="AY187" s="164"/>
      <c r="AZ187" s="164"/>
      <c r="BA187" s="164"/>
      <c r="BB187" s="164"/>
      <c r="BC187" s="164"/>
      <c r="BD187" s="164"/>
      <c r="BE187" s="164"/>
      <c r="BF187" s="164"/>
      <c r="BG187" s="164"/>
      <c r="BH187" s="164"/>
      <c r="BI187" s="164"/>
    </row>
    <row r="188" ht="15.75" customHeight="1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  <c r="AD188" s="164"/>
      <c r="AE188" s="164"/>
      <c r="AF188" s="164"/>
      <c r="AG188" s="164"/>
      <c r="AH188" s="164"/>
      <c r="AI188" s="164"/>
      <c r="AJ188" s="164"/>
      <c r="AK188" s="164"/>
      <c r="AL188" s="164"/>
      <c r="AM188" s="164"/>
      <c r="AN188" s="164"/>
      <c r="AO188" s="164"/>
      <c r="AP188" s="164"/>
      <c r="AQ188" s="164"/>
      <c r="AR188" s="164"/>
      <c r="AS188" s="164"/>
      <c r="AT188" s="164"/>
      <c r="AU188" s="164"/>
      <c r="AV188" s="164"/>
      <c r="AW188" s="164"/>
      <c r="AX188" s="164"/>
      <c r="AY188" s="164"/>
      <c r="AZ188" s="164"/>
      <c r="BA188" s="164"/>
      <c r="BB188" s="164"/>
      <c r="BC188" s="164"/>
      <c r="BD188" s="164"/>
      <c r="BE188" s="164"/>
      <c r="BF188" s="164"/>
      <c r="BG188" s="164"/>
      <c r="BH188" s="164"/>
      <c r="BI188" s="164"/>
    </row>
    <row r="189" ht="15.75" customHeight="1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  <c r="AD189" s="164"/>
      <c r="AE189" s="164"/>
      <c r="AF189" s="164"/>
      <c r="AG189" s="164"/>
      <c r="AH189" s="164"/>
      <c r="AI189" s="164"/>
      <c r="AJ189" s="164"/>
      <c r="AK189" s="164"/>
      <c r="AL189" s="164"/>
      <c r="AM189" s="164"/>
      <c r="AN189" s="164"/>
      <c r="AO189" s="164"/>
      <c r="AP189" s="164"/>
      <c r="AQ189" s="164"/>
      <c r="AR189" s="164"/>
      <c r="AS189" s="164"/>
      <c r="AT189" s="164"/>
      <c r="AU189" s="164"/>
      <c r="AV189" s="164"/>
      <c r="AW189" s="164"/>
      <c r="AX189" s="164"/>
      <c r="AY189" s="164"/>
      <c r="AZ189" s="164"/>
      <c r="BA189" s="164"/>
      <c r="BB189" s="164"/>
      <c r="BC189" s="164"/>
      <c r="BD189" s="164"/>
      <c r="BE189" s="164"/>
      <c r="BF189" s="164"/>
      <c r="BG189" s="164"/>
      <c r="BH189" s="164"/>
      <c r="BI189" s="164"/>
    </row>
    <row r="190" ht="15.75" customHeight="1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  <c r="AD190" s="164"/>
      <c r="AE190" s="164"/>
      <c r="AF190" s="164"/>
      <c r="AG190" s="164"/>
      <c r="AH190" s="164"/>
      <c r="AI190" s="164"/>
      <c r="AJ190" s="164"/>
      <c r="AK190" s="164"/>
      <c r="AL190" s="164"/>
      <c r="AM190" s="164"/>
      <c r="AN190" s="164"/>
      <c r="AO190" s="164"/>
      <c r="AP190" s="164"/>
      <c r="AQ190" s="164"/>
      <c r="AR190" s="164"/>
      <c r="AS190" s="164"/>
      <c r="AT190" s="164"/>
      <c r="AU190" s="164"/>
      <c r="AV190" s="164"/>
      <c r="AW190" s="164"/>
      <c r="AX190" s="164"/>
      <c r="AY190" s="164"/>
      <c r="AZ190" s="164"/>
      <c r="BA190" s="164"/>
      <c r="BB190" s="164"/>
      <c r="BC190" s="164"/>
      <c r="BD190" s="164"/>
      <c r="BE190" s="164"/>
      <c r="BF190" s="164"/>
      <c r="BG190" s="164"/>
      <c r="BH190" s="164"/>
      <c r="BI190" s="164"/>
    </row>
    <row r="191" ht="15.75" customHeight="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  <c r="AD191" s="164"/>
      <c r="AE191" s="164"/>
      <c r="AF191" s="164"/>
      <c r="AG191" s="164"/>
      <c r="AH191" s="164"/>
      <c r="AI191" s="164"/>
      <c r="AJ191" s="164"/>
      <c r="AK191" s="164"/>
      <c r="AL191" s="164"/>
      <c r="AM191" s="164"/>
      <c r="AN191" s="164"/>
      <c r="AO191" s="164"/>
      <c r="AP191" s="164"/>
      <c r="AQ191" s="164"/>
      <c r="AR191" s="164"/>
      <c r="AS191" s="164"/>
      <c r="AT191" s="164"/>
      <c r="AU191" s="164"/>
      <c r="AV191" s="164"/>
      <c r="AW191" s="164"/>
      <c r="AX191" s="164"/>
      <c r="AY191" s="164"/>
      <c r="AZ191" s="164"/>
      <c r="BA191" s="164"/>
      <c r="BB191" s="164"/>
      <c r="BC191" s="164"/>
      <c r="BD191" s="164"/>
      <c r="BE191" s="164"/>
      <c r="BF191" s="164"/>
      <c r="BG191" s="164"/>
      <c r="BH191" s="164"/>
      <c r="BI191" s="164"/>
    </row>
    <row r="192" ht="15.75" customHeight="1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  <c r="AD192" s="164"/>
      <c r="AE192" s="164"/>
      <c r="AF192" s="164"/>
      <c r="AG192" s="164"/>
      <c r="AH192" s="164"/>
      <c r="AI192" s="164"/>
      <c r="AJ192" s="164"/>
      <c r="AK192" s="164"/>
      <c r="AL192" s="164"/>
      <c r="AM192" s="164"/>
      <c r="AN192" s="164"/>
      <c r="AO192" s="164"/>
      <c r="AP192" s="164"/>
      <c r="AQ192" s="164"/>
      <c r="AR192" s="164"/>
      <c r="AS192" s="164"/>
      <c r="AT192" s="164"/>
      <c r="AU192" s="164"/>
      <c r="AV192" s="164"/>
      <c r="AW192" s="164"/>
      <c r="AX192" s="164"/>
      <c r="AY192" s="164"/>
      <c r="AZ192" s="164"/>
      <c r="BA192" s="164"/>
      <c r="BB192" s="164"/>
      <c r="BC192" s="164"/>
      <c r="BD192" s="164"/>
      <c r="BE192" s="164"/>
      <c r="BF192" s="164"/>
      <c r="BG192" s="164"/>
      <c r="BH192" s="164"/>
      <c r="BI192" s="164"/>
    </row>
    <row r="193" ht="15.75" customHeight="1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  <c r="AD193" s="164"/>
      <c r="AE193" s="164"/>
      <c r="AF193" s="164"/>
      <c r="AG193" s="164"/>
      <c r="AH193" s="164"/>
      <c r="AI193" s="164"/>
      <c r="AJ193" s="164"/>
      <c r="AK193" s="164"/>
      <c r="AL193" s="164"/>
      <c r="AM193" s="164"/>
      <c r="AN193" s="164"/>
      <c r="AO193" s="164"/>
      <c r="AP193" s="164"/>
      <c r="AQ193" s="164"/>
      <c r="AR193" s="164"/>
      <c r="AS193" s="164"/>
      <c r="AT193" s="164"/>
      <c r="AU193" s="164"/>
      <c r="AV193" s="164"/>
      <c r="AW193" s="164"/>
      <c r="AX193" s="164"/>
      <c r="AY193" s="164"/>
      <c r="AZ193" s="164"/>
      <c r="BA193" s="164"/>
      <c r="BB193" s="164"/>
      <c r="BC193" s="164"/>
      <c r="BD193" s="164"/>
      <c r="BE193" s="164"/>
      <c r="BF193" s="164"/>
      <c r="BG193" s="164"/>
      <c r="BH193" s="164"/>
      <c r="BI193" s="164"/>
    </row>
    <row r="194" ht="15.75" customHeight="1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  <c r="AD194" s="164"/>
      <c r="AE194" s="164"/>
      <c r="AF194" s="164"/>
      <c r="AG194" s="164"/>
      <c r="AH194" s="164"/>
      <c r="AI194" s="164"/>
      <c r="AJ194" s="164"/>
      <c r="AK194" s="164"/>
      <c r="AL194" s="164"/>
      <c r="AM194" s="164"/>
      <c r="AN194" s="164"/>
      <c r="AO194" s="164"/>
      <c r="AP194" s="164"/>
      <c r="AQ194" s="164"/>
      <c r="AR194" s="164"/>
      <c r="AS194" s="164"/>
      <c r="AT194" s="164"/>
      <c r="AU194" s="164"/>
      <c r="AV194" s="164"/>
      <c r="AW194" s="164"/>
      <c r="AX194" s="164"/>
      <c r="AY194" s="164"/>
      <c r="AZ194" s="164"/>
      <c r="BA194" s="164"/>
      <c r="BB194" s="164"/>
      <c r="BC194" s="164"/>
      <c r="BD194" s="164"/>
      <c r="BE194" s="164"/>
      <c r="BF194" s="164"/>
      <c r="BG194" s="164"/>
      <c r="BH194" s="164"/>
      <c r="BI194" s="164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  <c r="AD195" s="164"/>
      <c r="AE195" s="164"/>
      <c r="AF195" s="164"/>
      <c r="AG195" s="164"/>
      <c r="AH195" s="164"/>
      <c r="AI195" s="164"/>
      <c r="AJ195" s="164"/>
      <c r="AK195" s="164"/>
      <c r="AL195" s="164"/>
      <c r="AM195" s="164"/>
      <c r="AN195" s="164"/>
      <c r="AO195" s="164"/>
      <c r="AP195" s="164"/>
      <c r="AQ195" s="164"/>
      <c r="AR195" s="164"/>
      <c r="AS195" s="164"/>
      <c r="AT195" s="164"/>
      <c r="AU195" s="164"/>
      <c r="AV195" s="164"/>
      <c r="AW195" s="164"/>
      <c r="AX195" s="164"/>
      <c r="AY195" s="164"/>
      <c r="AZ195" s="164"/>
      <c r="BA195" s="164"/>
      <c r="BB195" s="164"/>
      <c r="BC195" s="164"/>
      <c r="BD195" s="164"/>
      <c r="BE195" s="164"/>
      <c r="BF195" s="164"/>
      <c r="BG195" s="164"/>
      <c r="BH195" s="164"/>
      <c r="BI195" s="164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  <c r="AD196" s="164"/>
      <c r="AE196" s="164"/>
      <c r="AF196" s="164"/>
      <c r="AG196" s="164"/>
      <c r="AH196" s="164"/>
      <c r="AI196" s="164"/>
      <c r="AJ196" s="164"/>
      <c r="AK196" s="164"/>
      <c r="AL196" s="164"/>
      <c r="AM196" s="164"/>
      <c r="AN196" s="164"/>
      <c r="AO196" s="164"/>
      <c r="AP196" s="164"/>
      <c r="AQ196" s="164"/>
      <c r="AR196" s="164"/>
      <c r="AS196" s="164"/>
      <c r="AT196" s="164"/>
      <c r="AU196" s="164"/>
      <c r="AV196" s="164"/>
      <c r="AW196" s="164"/>
      <c r="AX196" s="164"/>
      <c r="AY196" s="164"/>
      <c r="AZ196" s="164"/>
      <c r="BA196" s="164"/>
      <c r="BB196" s="164"/>
      <c r="BC196" s="164"/>
      <c r="BD196" s="164"/>
      <c r="BE196" s="164"/>
      <c r="BF196" s="164"/>
      <c r="BG196" s="164"/>
      <c r="BH196" s="164"/>
      <c r="BI196" s="164"/>
    </row>
    <row r="197" ht="15.75" customHeight="1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  <c r="AD197" s="164"/>
      <c r="AE197" s="164"/>
      <c r="AF197" s="164"/>
      <c r="AG197" s="164"/>
      <c r="AH197" s="164"/>
      <c r="AI197" s="164"/>
      <c r="AJ197" s="164"/>
      <c r="AK197" s="164"/>
      <c r="AL197" s="164"/>
      <c r="AM197" s="164"/>
      <c r="AN197" s="164"/>
      <c r="AO197" s="164"/>
      <c r="AP197" s="164"/>
      <c r="AQ197" s="164"/>
      <c r="AR197" s="164"/>
      <c r="AS197" s="164"/>
      <c r="AT197" s="164"/>
      <c r="AU197" s="164"/>
      <c r="AV197" s="164"/>
      <c r="AW197" s="164"/>
      <c r="AX197" s="164"/>
      <c r="AY197" s="164"/>
      <c r="AZ197" s="164"/>
      <c r="BA197" s="164"/>
      <c r="BB197" s="164"/>
      <c r="BC197" s="164"/>
      <c r="BD197" s="164"/>
      <c r="BE197" s="164"/>
      <c r="BF197" s="164"/>
      <c r="BG197" s="164"/>
      <c r="BH197" s="164"/>
      <c r="BI197" s="164"/>
    </row>
    <row r="198" ht="15.75" customHeight="1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  <c r="AD198" s="164"/>
      <c r="AE198" s="164"/>
      <c r="AF198" s="164"/>
      <c r="AG198" s="164"/>
      <c r="AH198" s="164"/>
      <c r="AI198" s="164"/>
      <c r="AJ198" s="164"/>
      <c r="AK198" s="164"/>
      <c r="AL198" s="164"/>
      <c r="AM198" s="164"/>
      <c r="AN198" s="164"/>
      <c r="AO198" s="164"/>
      <c r="AP198" s="164"/>
      <c r="AQ198" s="164"/>
      <c r="AR198" s="164"/>
      <c r="AS198" s="164"/>
      <c r="AT198" s="164"/>
      <c r="AU198" s="164"/>
      <c r="AV198" s="164"/>
      <c r="AW198" s="164"/>
      <c r="AX198" s="164"/>
      <c r="AY198" s="164"/>
      <c r="AZ198" s="164"/>
      <c r="BA198" s="164"/>
      <c r="BB198" s="164"/>
      <c r="BC198" s="164"/>
      <c r="BD198" s="164"/>
      <c r="BE198" s="164"/>
      <c r="BF198" s="164"/>
      <c r="BG198" s="164"/>
      <c r="BH198" s="164"/>
      <c r="BI198" s="164"/>
    </row>
    <row r="199" ht="15.75" customHeight="1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  <c r="AD199" s="164"/>
      <c r="AE199" s="164"/>
      <c r="AF199" s="164"/>
      <c r="AG199" s="164"/>
      <c r="AH199" s="164"/>
      <c r="AI199" s="164"/>
      <c r="AJ199" s="164"/>
      <c r="AK199" s="164"/>
      <c r="AL199" s="164"/>
      <c r="AM199" s="164"/>
      <c r="AN199" s="164"/>
      <c r="AO199" s="164"/>
      <c r="AP199" s="164"/>
      <c r="AQ199" s="164"/>
      <c r="AR199" s="164"/>
      <c r="AS199" s="164"/>
      <c r="AT199" s="164"/>
      <c r="AU199" s="164"/>
      <c r="AV199" s="164"/>
      <c r="AW199" s="164"/>
      <c r="AX199" s="164"/>
      <c r="AY199" s="164"/>
      <c r="AZ199" s="164"/>
      <c r="BA199" s="164"/>
      <c r="BB199" s="164"/>
      <c r="BC199" s="164"/>
      <c r="BD199" s="164"/>
      <c r="BE199" s="164"/>
      <c r="BF199" s="164"/>
      <c r="BG199" s="164"/>
      <c r="BH199" s="164"/>
      <c r="BI199" s="164"/>
    </row>
    <row r="200" ht="15.75" customHeight="1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  <c r="AO200" s="164"/>
      <c r="AP200" s="164"/>
      <c r="AQ200" s="164"/>
      <c r="AR200" s="164"/>
      <c r="AS200" s="164"/>
      <c r="AT200" s="164"/>
      <c r="AU200" s="164"/>
      <c r="AV200" s="164"/>
      <c r="AW200" s="164"/>
      <c r="AX200" s="164"/>
      <c r="AY200" s="164"/>
      <c r="AZ200" s="164"/>
      <c r="BA200" s="164"/>
      <c r="BB200" s="164"/>
      <c r="BC200" s="164"/>
      <c r="BD200" s="164"/>
      <c r="BE200" s="164"/>
      <c r="BF200" s="164"/>
      <c r="BG200" s="164"/>
      <c r="BH200" s="164"/>
      <c r="BI200" s="164"/>
    </row>
    <row r="201" ht="15.75" customHeight="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  <c r="AO201" s="164"/>
      <c r="AP201" s="164"/>
      <c r="AQ201" s="164"/>
      <c r="AR201" s="164"/>
      <c r="AS201" s="164"/>
      <c r="AT201" s="164"/>
      <c r="AU201" s="164"/>
      <c r="AV201" s="164"/>
      <c r="AW201" s="164"/>
      <c r="AX201" s="164"/>
      <c r="AY201" s="164"/>
      <c r="AZ201" s="164"/>
      <c r="BA201" s="164"/>
      <c r="BB201" s="164"/>
      <c r="BC201" s="164"/>
      <c r="BD201" s="164"/>
      <c r="BE201" s="164"/>
      <c r="BF201" s="164"/>
      <c r="BG201" s="164"/>
      <c r="BH201" s="164"/>
      <c r="BI201" s="164"/>
    </row>
    <row r="202" ht="15.75" customHeight="1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  <c r="AE202" s="164"/>
      <c r="AF202" s="164"/>
      <c r="AG202" s="164"/>
      <c r="AH202" s="164"/>
      <c r="AI202" s="164"/>
      <c r="AJ202" s="164"/>
      <c r="AK202" s="164"/>
      <c r="AL202" s="164"/>
      <c r="AM202" s="164"/>
      <c r="AN202" s="164"/>
      <c r="AO202" s="164"/>
      <c r="AP202" s="164"/>
      <c r="AQ202" s="164"/>
      <c r="AR202" s="164"/>
      <c r="AS202" s="164"/>
      <c r="AT202" s="164"/>
      <c r="AU202" s="164"/>
      <c r="AV202" s="164"/>
      <c r="AW202" s="164"/>
      <c r="AX202" s="164"/>
      <c r="AY202" s="164"/>
      <c r="AZ202" s="164"/>
      <c r="BA202" s="164"/>
      <c r="BB202" s="164"/>
      <c r="BC202" s="164"/>
      <c r="BD202" s="164"/>
      <c r="BE202" s="164"/>
      <c r="BF202" s="164"/>
      <c r="BG202" s="164"/>
      <c r="BH202" s="164"/>
      <c r="BI202" s="164"/>
    </row>
    <row r="203" ht="15.75" customHeight="1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  <c r="AE203" s="164"/>
      <c r="AF203" s="164"/>
      <c r="AG203" s="164"/>
      <c r="AH203" s="164"/>
      <c r="AI203" s="164"/>
      <c r="AJ203" s="164"/>
      <c r="AK203" s="164"/>
      <c r="AL203" s="164"/>
      <c r="AM203" s="164"/>
      <c r="AN203" s="164"/>
      <c r="AO203" s="164"/>
      <c r="AP203" s="164"/>
      <c r="AQ203" s="164"/>
      <c r="AR203" s="164"/>
      <c r="AS203" s="164"/>
      <c r="AT203" s="164"/>
      <c r="AU203" s="164"/>
      <c r="AV203" s="164"/>
      <c r="AW203" s="164"/>
      <c r="AX203" s="164"/>
      <c r="AY203" s="164"/>
      <c r="AZ203" s="164"/>
      <c r="BA203" s="164"/>
      <c r="BB203" s="164"/>
      <c r="BC203" s="164"/>
      <c r="BD203" s="164"/>
      <c r="BE203" s="164"/>
      <c r="BF203" s="164"/>
      <c r="BG203" s="164"/>
      <c r="BH203" s="164"/>
      <c r="BI203" s="164"/>
    </row>
    <row r="204" ht="15.75" customHeight="1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  <c r="AD204" s="164"/>
      <c r="AE204" s="164"/>
      <c r="AF204" s="164"/>
      <c r="AG204" s="164"/>
      <c r="AH204" s="164"/>
      <c r="AI204" s="164"/>
      <c r="AJ204" s="164"/>
      <c r="AK204" s="164"/>
      <c r="AL204" s="164"/>
      <c r="AM204" s="164"/>
      <c r="AN204" s="164"/>
      <c r="AO204" s="164"/>
      <c r="AP204" s="164"/>
      <c r="AQ204" s="164"/>
      <c r="AR204" s="164"/>
      <c r="AS204" s="164"/>
      <c r="AT204" s="164"/>
      <c r="AU204" s="164"/>
      <c r="AV204" s="164"/>
      <c r="AW204" s="164"/>
      <c r="AX204" s="164"/>
      <c r="AY204" s="164"/>
      <c r="AZ204" s="164"/>
      <c r="BA204" s="164"/>
      <c r="BB204" s="164"/>
      <c r="BC204" s="164"/>
      <c r="BD204" s="164"/>
      <c r="BE204" s="164"/>
      <c r="BF204" s="164"/>
      <c r="BG204" s="164"/>
      <c r="BH204" s="164"/>
      <c r="BI204" s="164"/>
    </row>
    <row r="205" ht="15.75" customHeight="1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  <c r="AG205" s="164"/>
      <c r="AH205" s="164"/>
      <c r="AI205" s="164"/>
      <c r="AJ205" s="164"/>
      <c r="AK205" s="164"/>
      <c r="AL205" s="164"/>
      <c r="AM205" s="164"/>
      <c r="AN205" s="164"/>
      <c r="AO205" s="164"/>
      <c r="AP205" s="164"/>
      <c r="AQ205" s="164"/>
      <c r="AR205" s="164"/>
      <c r="AS205" s="164"/>
      <c r="AT205" s="164"/>
      <c r="AU205" s="164"/>
      <c r="AV205" s="164"/>
      <c r="AW205" s="164"/>
      <c r="AX205" s="164"/>
      <c r="AY205" s="164"/>
      <c r="AZ205" s="164"/>
      <c r="BA205" s="164"/>
      <c r="BB205" s="164"/>
      <c r="BC205" s="164"/>
      <c r="BD205" s="164"/>
      <c r="BE205" s="164"/>
      <c r="BF205" s="164"/>
      <c r="BG205" s="164"/>
      <c r="BH205" s="164"/>
      <c r="BI205" s="164"/>
    </row>
    <row r="206" ht="15.75" customHeight="1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  <c r="AD206" s="164"/>
      <c r="AE206" s="164"/>
      <c r="AF206" s="164"/>
      <c r="AG206" s="164"/>
      <c r="AH206" s="164"/>
      <c r="AI206" s="164"/>
      <c r="AJ206" s="164"/>
      <c r="AK206" s="164"/>
      <c r="AL206" s="164"/>
      <c r="AM206" s="164"/>
      <c r="AN206" s="164"/>
      <c r="AO206" s="164"/>
      <c r="AP206" s="164"/>
      <c r="AQ206" s="164"/>
      <c r="AR206" s="164"/>
      <c r="AS206" s="164"/>
      <c r="AT206" s="164"/>
      <c r="AU206" s="164"/>
      <c r="AV206" s="164"/>
      <c r="AW206" s="164"/>
      <c r="AX206" s="164"/>
      <c r="AY206" s="164"/>
      <c r="AZ206" s="164"/>
      <c r="BA206" s="164"/>
      <c r="BB206" s="164"/>
      <c r="BC206" s="164"/>
      <c r="BD206" s="164"/>
      <c r="BE206" s="164"/>
      <c r="BF206" s="164"/>
      <c r="BG206" s="164"/>
      <c r="BH206" s="164"/>
      <c r="BI206" s="164"/>
    </row>
    <row r="207" ht="15.75" customHeight="1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  <c r="AD207" s="164"/>
      <c r="AE207" s="164"/>
      <c r="AF207" s="164"/>
      <c r="AG207" s="164"/>
      <c r="AH207" s="164"/>
      <c r="AI207" s="164"/>
      <c r="AJ207" s="164"/>
      <c r="AK207" s="164"/>
      <c r="AL207" s="164"/>
      <c r="AM207" s="164"/>
      <c r="AN207" s="164"/>
      <c r="AO207" s="164"/>
      <c r="AP207" s="164"/>
      <c r="AQ207" s="164"/>
      <c r="AR207" s="164"/>
      <c r="AS207" s="164"/>
      <c r="AT207" s="164"/>
      <c r="AU207" s="164"/>
      <c r="AV207" s="164"/>
      <c r="AW207" s="164"/>
      <c r="AX207" s="164"/>
      <c r="AY207" s="164"/>
      <c r="AZ207" s="164"/>
      <c r="BA207" s="164"/>
      <c r="BB207" s="164"/>
      <c r="BC207" s="164"/>
      <c r="BD207" s="164"/>
      <c r="BE207" s="164"/>
      <c r="BF207" s="164"/>
      <c r="BG207" s="164"/>
      <c r="BH207" s="164"/>
      <c r="BI207" s="164"/>
    </row>
    <row r="208" ht="15.75" customHeight="1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  <c r="AD208" s="164"/>
      <c r="AE208" s="164"/>
      <c r="AF208" s="164"/>
      <c r="AG208" s="164"/>
      <c r="AH208" s="164"/>
      <c r="AI208" s="164"/>
      <c r="AJ208" s="164"/>
      <c r="AK208" s="164"/>
      <c r="AL208" s="164"/>
      <c r="AM208" s="164"/>
      <c r="AN208" s="164"/>
      <c r="AO208" s="164"/>
      <c r="AP208" s="164"/>
      <c r="AQ208" s="164"/>
      <c r="AR208" s="164"/>
      <c r="AS208" s="164"/>
      <c r="AT208" s="164"/>
      <c r="AU208" s="164"/>
      <c r="AV208" s="164"/>
      <c r="AW208" s="164"/>
      <c r="AX208" s="164"/>
      <c r="AY208" s="164"/>
      <c r="AZ208" s="164"/>
      <c r="BA208" s="164"/>
      <c r="BB208" s="164"/>
      <c r="BC208" s="164"/>
      <c r="BD208" s="164"/>
      <c r="BE208" s="164"/>
      <c r="BF208" s="164"/>
      <c r="BG208" s="164"/>
      <c r="BH208" s="164"/>
      <c r="BI208" s="164"/>
    </row>
    <row r="209" ht="15.75" customHeight="1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  <c r="AK209" s="164"/>
      <c r="AL209" s="164"/>
      <c r="AM209" s="164"/>
      <c r="AN209" s="164"/>
      <c r="AO209" s="164"/>
      <c r="AP209" s="164"/>
      <c r="AQ209" s="164"/>
      <c r="AR209" s="164"/>
      <c r="AS209" s="164"/>
      <c r="AT209" s="164"/>
      <c r="AU209" s="164"/>
      <c r="AV209" s="164"/>
      <c r="AW209" s="164"/>
      <c r="AX209" s="164"/>
      <c r="AY209" s="164"/>
      <c r="AZ209" s="164"/>
      <c r="BA209" s="164"/>
      <c r="BB209" s="164"/>
      <c r="BC209" s="164"/>
      <c r="BD209" s="164"/>
      <c r="BE209" s="164"/>
      <c r="BF209" s="164"/>
      <c r="BG209" s="164"/>
      <c r="BH209" s="164"/>
      <c r="BI209" s="164"/>
    </row>
    <row r="210" ht="15.75" customHeight="1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  <c r="AE210" s="164"/>
      <c r="AF210" s="164"/>
      <c r="AG210" s="164"/>
      <c r="AH210" s="164"/>
      <c r="AI210" s="164"/>
      <c r="AJ210" s="164"/>
      <c r="AK210" s="164"/>
      <c r="AL210" s="164"/>
      <c r="AM210" s="164"/>
      <c r="AN210" s="164"/>
      <c r="AO210" s="164"/>
      <c r="AP210" s="164"/>
      <c r="AQ210" s="164"/>
      <c r="AR210" s="164"/>
      <c r="AS210" s="164"/>
      <c r="AT210" s="164"/>
      <c r="AU210" s="164"/>
      <c r="AV210" s="164"/>
      <c r="AW210" s="164"/>
      <c r="AX210" s="164"/>
      <c r="AY210" s="164"/>
      <c r="AZ210" s="164"/>
      <c r="BA210" s="164"/>
      <c r="BB210" s="164"/>
      <c r="BC210" s="164"/>
      <c r="BD210" s="164"/>
      <c r="BE210" s="164"/>
      <c r="BF210" s="164"/>
      <c r="BG210" s="164"/>
      <c r="BH210" s="164"/>
      <c r="BI210" s="164"/>
    </row>
    <row r="211" ht="15.75" customHeight="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  <c r="AD211" s="164"/>
      <c r="AE211" s="164"/>
      <c r="AF211" s="164"/>
      <c r="AG211" s="164"/>
      <c r="AH211" s="164"/>
      <c r="AI211" s="164"/>
      <c r="AJ211" s="164"/>
      <c r="AK211" s="164"/>
      <c r="AL211" s="164"/>
      <c r="AM211" s="164"/>
      <c r="AN211" s="164"/>
      <c r="AO211" s="164"/>
      <c r="AP211" s="164"/>
      <c r="AQ211" s="164"/>
      <c r="AR211" s="164"/>
      <c r="AS211" s="164"/>
      <c r="AT211" s="164"/>
      <c r="AU211" s="164"/>
      <c r="AV211" s="164"/>
      <c r="AW211" s="164"/>
      <c r="AX211" s="164"/>
      <c r="AY211" s="164"/>
      <c r="AZ211" s="164"/>
      <c r="BA211" s="164"/>
      <c r="BB211" s="164"/>
      <c r="BC211" s="164"/>
      <c r="BD211" s="164"/>
      <c r="BE211" s="164"/>
      <c r="BF211" s="164"/>
      <c r="BG211" s="164"/>
      <c r="BH211" s="164"/>
      <c r="BI211" s="164"/>
    </row>
    <row r="212" ht="15.75" customHeight="1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  <c r="AD212" s="164"/>
      <c r="AE212" s="164"/>
      <c r="AF212" s="164"/>
      <c r="AG212" s="164"/>
      <c r="AH212" s="164"/>
      <c r="AI212" s="164"/>
      <c r="AJ212" s="164"/>
      <c r="AK212" s="164"/>
      <c r="AL212" s="164"/>
      <c r="AM212" s="164"/>
      <c r="AN212" s="164"/>
      <c r="AO212" s="164"/>
      <c r="AP212" s="164"/>
      <c r="AQ212" s="164"/>
      <c r="AR212" s="164"/>
      <c r="AS212" s="164"/>
      <c r="AT212" s="164"/>
      <c r="AU212" s="164"/>
      <c r="AV212" s="164"/>
      <c r="AW212" s="164"/>
      <c r="AX212" s="164"/>
      <c r="AY212" s="164"/>
      <c r="AZ212" s="164"/>
      <c r="BA212" s="164"/>
      <c r="BB212" s="164"/>
      <c r="BC212" s="164"/>
      <c r="BD212" s="164"/>
      <c r="BE212" s="164"/>
      <c r="BF212" s="164"/>
      <c r="BG212" s="164"/>
      <c r="BH212" s="164"/>
      <c r="BI212" s="164"/>
    </row>
    <row r="213" ht="15.75" customHeight="1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  <c r="AD213" s="164"/>
      <c r="AE213" s="164"/>
      <c r="AF213" s="164"/>
      <c r="AG213" s="164"/>
      <c r="AH213" s="164"/>
      <c r="AI213" s="164"/>
      <c r="AJ213" s="164"/>
      <c r="AK213" s="164"/>
      <c r="AL213" s="164"/>
      <c r="AM213" s="164"/>
      <c r="AN213" s="164"/>
      <c r="AO213" s="164"/>
      <c r="AP213" s="164"/>
      <c r="AQ213" s="164"/>
      <c r="AR213" s="164"/>
      <c r="AS213" s="164"/>
      <c r="AT213" s="164"/>
      <c r="AU213" s="164"/>
      <c r="AV213" s="164"/>
      <c r="AW213" s="164"/>
      <c r="AX213" s="164"/>
      <c r="AY213" s="164"/>
      <c r="AZ213" s="164"/>
      <c r="BA213" s="164"/>
      <c r="BB213" s="164"/>
      <c r="BC213" s="164"/>
      <c r="BD213" s="164"/>
      <c r="BE213" s="164"/>
      <c r="BF213" s="164"/>
      <c r="BG213" s="164"/>
      <c r="BH213" s="164"/>
      <c r="BI213" s="164"/>
    </row>
    <row r="214" ht="15.75" customHeight="1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  <c r="AE214" s="164"/>
      <c r="AF214" s="164"/>
      <c r="AG214" s="164"/>
      <c r="AH214" s="164"/>
      <c r="AI214" s="164"/>
      <c r="AJ214" s="164"/>
      <c r="AK214" s="164"/>
      <c r="AL214" s="164"/>
      <c r="AM214" s="164"/>
      <c r="AN214" s="164"/>
      <c r="AO214" s="164"/>
      <c r="AP214" s="164"/>
      <c r="AQ214" s="164"/>
      <c r="AR214" s="164"/>
      <c r="AS214" s="164"/>
      <c r="AT214" s="164"/>
      <c r="AU214" s="164"/>
      <c r="AV214" s="164"/>
      <c r="AW214" s="164"/>
      <c r="AX214" s="164"/>
      <c r="AY214" s="164"/>
      <c r="AZ214" s="164"/>
      <c r="BA214" s="164"/>
      <c r="BB214" s="164"/>
      <c r="BC214" s="164"/>
      <c r="BD214" s="164"/>
      <c r="BE214" s="164"/>
      <c r="BF214" s="164"/>
      <c r="BG214" s="164"/>
      <c r="BH214" s="164"/>
      <c r="BI214" s="164"/>
    </row>
    <row r="215" ht="15.75" customHeight="1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  <c r="AD215" s="164"/>
      <c r="AE215" s="164"/>
      <c r="AF215" s="164"/>
      <c r="AG215" s="164"/>
      <c r="AH215" s="164"/>
      <c r="AI215" s="164"/>
      <c r="AJ215" s="164"/>
      <c r="AK215" s="164"/>
      <c r="AL215" s="164"/>
      <c r="AM215" s="164"/>
      <c r="AN215" s="164"/>
      <c r="AO215" s="164"/>
      <c r="AP215" s="164"/>
      <c r="AQ215" s="164"/>
      <c r="AR215" s="164"/>
      <c r="AS215" s="164"/>
      <c r="AT215" s="164"/>
      <c r="AU215" s="164"/>
      <c r="AV215" s="164"/>
      <c r="AW215" s="164"/>
      <c r="AX215" s="164"/>
      <c r="AY215" s="164"/>
      <c r="AZ215" s="164"/>
      <c r="BA215" s="164"/>
      <c r="BB215" s="164"/>
      <c r="BC215" s="164"/>
      <c r="BD215" s="164"/>
      <c r="BE215" s="164"/>
      <c r="BF215" s="164"/>
      <c r="BG215" s="164"/>
      <c r="BH215" s="164"/>
      <c r="BI215" s="164"/>
    </row>
    <row r="216" ht="15.75" customHeight="1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  <c r="AD216" s="164"/>
      <c r="AE216" s="164"/>
      <c r="AF216" s="164"/>
      <c r="AG216" s="164"/>
      <c r="AH216" s="164"/>
      <c r="AI216" s="164"/>
      <c r="AJ216" s="164"/>
      <c r="AK216" s="164"/>
      <c r="AL216" s="164"/>
      <c r="AM216" s="164"/>
      <c r="AN216" s="164"/>
      <c r="AO216" s="164"/>
      <c r="AP216" s="164"/>
      <c r="AQ216" s="164"/>
      <c r="AR216" s="164"/>
      <c r="AS216" s="164"/>
      <c r="AT216" s="164"/>
      <c r="AU216" s="164"/>
      <c r="AV216" s="164"/>
      <c r="AW216" s="164"/>
      <c r="AX216" s="164"/>
      <c r="AY216" s="164"/>
      <c r="AZ216" s="164"/>
      <c r="BA216" s="164"/>
      <c r="BB216" s="164"/>
      <c r="BC216" s="164"/>
      <c r="BD216" s="164"/>
      <c r="BE216" s="164"/>
      <c r="BF216" s="164"/>
      <c r="BG216" s="164"/>
      <c r="BH216" s="164"/>
      <c r="BI216" s="164"/>
    </row>
    <row r="217" ht="15.75" customHeight="1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  <c r="AD217" s="164"/>
      <c r="AE217" s="164"/>
      <c r="AF217" s="164"/>
      <c r="AG217" s="164"/>
      <c r="AH217" s="164"/>
      <c r="AI217" s="164"/>
      <c r="AJ217" s="164"/>
      <c r="AK217" s="164"/>
      <c r="AL217" s="164"/>
      <c r="AM217" s="164"/>
      <c r="AN217" s="164"/>
      <c r="AO217" s="164"/>
      <c r="AP217" s="164"/>
      <c r="AQ217" s="164"/>
      <c r="AR217" s="164"/>
      <c r="AS217" s="164"/>
      <c r="AT217" s="164"/>
      <c r="AU217" s="164"/>
      <c r="AV217" s="164"/>
      <c r="AW217" s="164"/>
      <c r="AX217" s="164"/>
      <c r="AY217" s="164"/>
      <c r="AZ217" s="164"/>
      <c r="BA217" s="164"/>
      <c r="BB217" s="164"/>
      <c r="BC217" s="164"/>
      <c r="BD217" s="164"/>
      <c r="BE217" s="164"/>
      <c r="BF217" s="164"/>
      <c r="BG217" s="164"/>
      <c r="BH217" s="164"/>
      <c r="BI217" s="164"/>
    </row>
    <row r="218" ht="15.75" customHeight="1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  <c r="AD218" s="164"/>
      <c r="AE218" s="164"/>
      <c r="AF218" s="164"/>
      <c r="AG218" s="164"/>
      <c r="AH218" s="164"/>
      <c r="AI218" s="164"/>
      <c r="AJ218" s="164"/>
      <c r="AK218" s="164"/>
      <c r="AL218" s="164"/>
      <c r="AM218" s="164"/>
      <c r="AN218" s="164"/>
      <c r="AO218" s="164"/>
      <c r="AP218" s="164"/>
      <c r="AQ218" s="164"/>
      <c r="AR218" s="164"/>
      <c r="AS218" s="164"/>
      <c r="AT218" s="164"/>
      <c r="AU218" s="164"/>
      <c r="AV218" s="164"/>
      <c r="AW218" s="164"/>
      <c r="AX218" s="164"/>
      <c r="AY218" s="164"/>
      <c r="AZ218" s="164"/>
      <c r="BA218" s="164"/>
      <c r="BB218" s="164"/>
      <c r="BC218" s="164"/>
      <c r="BD218" s="164"/>
      <c r="BE218" s="164"/>
      <c r="BF218" s="164"/>
      <c r="BG218" s="164"/>
      <c r="BH218" s="164"/>
      <c r="BI218" s="164"/>
    </row>
    <row r="219" ht="15.75" customHeight="1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  <c r="AD219" s="164"/>
      <c r="AE219" s="164"/>
      <c r="AF219" s="164"/>
      <c r="AG219" s="164"/>
      <c r="AH219" s="164"/>
      <c r="AI219" s="164"/>
      <c r="AJ219" s="164"/>
      <c r="AK219" s="164"/>
      <c r="AL219" s="164"/>
      <c r="AM219" s="164"/>
      <c r="AN219" s="164"/>
      <c r="AO219" s="164"/>
      <c r="AP219" s="164"/>
      <c r="AQ219" s="164"/>
      <c r="AR219" s="164"/>
      <c r="AS219" s="164"/>
      <c r="AT219" s="164"/>
      <c r="AU219" s="164"/>
      <c r="AV219" s="164"/>
      <c r="AW219" s="164"/>
      <c r="AX219" s="164"/>
      <c r="AY219" s="164"/>
      <c r="AZ219" s="164"/>
      <c r="BA219" s="164"/>
      <c r="BB219" s="164"/>
      <c r="BC219" s="164"/>
      <c r="BD219" s="164"/>
      <c r="BE219" s="164"/>
      <c r="BF219" s="164"/>
      <c r="BG219" s="164"/>
      <c r="BH219" s="164"/>
      <c r="BI219" s="164"/>
    </row>
    <row r="220" ht="15.75" customHeight="1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  <c r="AD220" s="164"/>
      <c r="AE220" s="164"/>
      <c r="AF220" s="164"/>
      <c r="AG220" s="164"/>
      <c r="AH220" s="164"/>
      <c r="AI220" s="164"/>
      <c r="AJ220" s="164"/>
      <c r="AK220" s="164"/>
      <c r="AL220" s="164"/>
      <c r="AM220" s="164"/>
      <c r="AN220" s="164"/>
      <c r="AO220" s="164"/>
      <c r="AP220" s="164"/>
      <c r="AQ220" s="164"/>
      <c r="AR220" s="164"/>
      <c r="AS220" s="164"/>
      <c r="AT220" s="164"/>
      <c r="AU220" s="164"/>
      <c r="AV220" s="164"/>
      <c r="AW220" s="164"/>
      <c r="AX220" s="164"/>
      <c r="AY220" s="164"/>
      <c r="AZ220" s="164"/>
      <c r="BA220" s="164"/>
      <c r="BB220" s="164"/>
      <c r="BC220" s="164"/>
      <c r="BD220" s="164"/>
      <c r="BE220" s="164"/>
      <c r="BF220" s="164"/>
      <c r="BG220" s="164"/>
      <c r="BH220" s="164"/>
      <c r="BI220" s="164"/>
    </row>
    <row r="221" ht="15.75" customHeight="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  <c r="AD221" s="164"/>
      <c r="AE221" s="164"/>
      <c r="AF221" s="164"/>
      <c r="AG221" s="164"/>
      <c r="AH221" s="164"/>
      <c r="AI221" s="164"/>
      <c r="AJ221" s="164"/>
      <c r="AK221" s="164"/>
      <c r="AL221" s="164"/>
      <c r="AM221" s="164"/>
      <c r="AN221" s="164"/>
      <c r="AO221" s="164"/>
      <c r="AP221" s="164"/>
      <c r="AQ221" s="164"/>
      <c r="AR221" s="164"/>
      <c r="AS221" s="164"/>
      <c r="AT221" s="164"/>
      <c r="AU221" s="164"/>
      <c r="AV221" s="164"/>
      <c r="AW221" s="164"/>
      <c r="AX221" s="164"/>
      <c r="AY221" s="164"/>
      <c r="AZ221" s="164"/>
      <c r="BA221" s="164"/>
      <c r="BB221" s="164"/>
      <c r="BC221" s="164"/>
      <c r="BD221" s="164"/>
      <c r="BE221" s="164"/>
      <c r="BF221" s="164"/>
      <c r="BG221" s="164"/>
      <c r="BH221" s="164"/>
      <c r="BI221" s="164"/>
    </row>
    <row r="222" ht="15.75" customHeight="1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  <c r="AE222" s="164"/>
      <c r="AF222" s="164"/>
      <c r="AG222" s="164"/>
      <c r="AH222" s="164"/>
      <c r="AI222" s="164"/>
      <c r="AJ222" s="164"/>
      <c r="AK222" s="164"/>
      <c r="AL222" s="164"/>
      <c r="AM222" s="164"/>
      <c r="AN222" s="164"/>
      <c r="AO222" s="164"/>
      <c r="AP222" s="164"/>
      <c r="AQ222" s="164"/>
      <c r="AR222" s="164"/>
      <c r="AS222" s="164"/>
      <c r="AT222" s="164"/>
      <c r="AU222" s="164"/>
      <c r="AV222" s="164"/>
      <c r="AW222" s="164"/>
      <c r="AX222" s="164"/>
      <c r="AY222" s="164"/>
      <c r="AZ222" s="164"/>
      <c r="BA222" s="164"/>
      <c r="BB222" s="164"/>
      <c r="BC222" s="164"/>
      <c r="BD222" s="164"/>
      <c r="BE222" s="164"/>
      <c r="BF222" s="164"/>
      <c r="BG222" s="164"/>
      <c r="BH222" s="164"/>
      <c r="BI222" s="164"/>
    </row>
    <row r="223" ht="15.75" customHeight="1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  <c r="AE223" s="164"/>
      <c r="AF223" s="164"/>
      <c r="AG223" s="164"/>
      <c r="AH223" s="164"/>
      <c r="AI223" s="164"/>
      <c r="AJ223" s="164"/>
      <c r="AK223" s="164"/>
      <c r="AL223" s="164"/>
      <c r="AM223" s="164"/>
      <c r="AN223" s="164"/>
      <c r="AO223" s="164"/>
      <c r="AP223" s="164"/>
      <c r="AQ223" s="164"/>
      <c r="AR223" s="164"/>
      <c r="AS223" s="164"/>
      <c r="AT223" s="164"/>
      <c r="AU223" s="164"/>
      <c r="AV223" s="164"/>
      <c r="AW223" s="164"/>
      <c r="AX223" s="164"/>
      <c r="AY223" s="164"/>
      <c r="AZ223" s="164"/>
      <c r="BA223" s="164"/>
      <c r="BB223" s="164"/>
      <c r="BC223" s="164"/>
      <c r="BD223" s="164"/>
      <c r="BE223" s="164"/>
      <c r="BF223" s="164"/>
      <c r="BG223" s="164"/>
      <c r="BH223" s="164"/>
      <c r="BI223" s="164"/>
    </row>
    <row r="224" ht="15.75" customHeight="1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  <c r="AE224" s="164"/>
      <c r="AF224" s="164"/>
      <c r="AG224" s="164"/>
      <c r="AH224" s="164"/>
      <c r="AI224" s="164"/>
      <c r="AJ224" s="164"/>
      <c r="AK224" s="164"/>
      <c r="AL224" s="164"/>
      <c r="AM224" s="164"/>
      <c r="AN224" s="164"/>
      <c r="AO224" s="164"/>
      <c r="AP224" s="164"/>
      <c r="AQ224" s="164"/>
      <c r="AR224" s="164"/>
      <c r="AS224" s="164"/>
      <c r="AT224" s="164"/>
      <c r="AU224" s="164"/>
      <c r="AV224" s="164"/>
      <c r="AW224" s="164"/>
      <c r="AX224" s="164"/>
      <c r="AY224" s="164"/>
      <c r="AZ224" s="164"/>
      <c r="BA224" s="164"/>
      <c r="BB224" s="164"/>
      <c r="BC224" s="164"/>
      <c r="BD224" s="164"/>
      <c r="BE224" s="164"/>
      <c r="BF224" s="164"/>
      <c r="BG224" s="164"/>
      <c r="BH224" s="164"/>
      <c r="BI224" s="164"/>
    </row>
    <row r="225" ht="15.75" customHeight="1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  <c r="AD225" s="164"/>
      <c r="AE225" s="164"/>
      <c r="AF225" s="164"/>
      <c r="AG225" s="164"/>
      <c r="AH225" s="164"/>
      <c r="AI225" s="164"/>
      <c r="AJ225" s="164"/>
      <c r="AK225" s="164"/>
      <c r="AL225" s="164"/>
      <c r="AM225" s="164"/>
      <c r="AN225" s="164"/>
      <c r="AO225" s="164"/>
      <c r="AP225" s="164"/>
      <c r="AQ225" s="164"/>
      <c r="AR225" s="164"/>
      <c r="AS225" s="164"/>
      <c r="AT225" s="164"/>
      <c r="AU225" s="164"/>
      <c r="AV225" s="164"/>
      <c r="AW225" s="164"/>
      <c r="AX225" s="164"/>
      <c r="AY225" s="164"/>
      <c r="AZ225" s="164"/>
      <c r="BA225" s="164"/>
      <c r="BB225" s="164"/>
      <c r="BC225" s="164"/>
      <c r="BD225" s="164"/>
      <c r="BE225" s="164"/>
      <c r="BF225" s="164"/>
      <c r="BG225" s="164"/>
      <c r="BH225" s="164"/>
      <c r="BI225" s="164"/>
    </row>
    <row r="226" ht="15.75" customHeight="1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  <c r="AD226" s="164"/>
      <c r="AE226" s="164"/>
      <c r="AF226" s="164"/>
      <c r="AG226" s="164"/>
      <c r="AH226" s="164"/>
      <c r="AI226" s="164"/>
      <c r="AJ226" s="164"/>
      <c r="AK226" s="164"/>
      <c r="AL226" s="164"/>
      <c r="AM226" s="164"/>
      <c r="AN226" s="164"/>
      <c r="AO226" s="164"/>
      <c r="AP226" s="164"/>
      <c r="AQ226" s="164"/>
      <c r="AR226" s="164"/>
      <c r="AS226" s="164"/>
      <c r="AT226" s="164"/>
      <c r="AU226" s="164"/>
      <c r="AV226" s="164"/>
      <c r="AW226" s="164"/>
      <c r="AX226" s="164"/>
      <c r="AY226" s="164"/>
      <c r="AZ226" s="164"/>
      <c r="BA226" s="164"/>
      <c r="BB226" s="164"/>
      <c r="BC226" s="164"/>
      <c r="BD226" s="164"/>
      <c r="BE226" s="164"/>
      <c r="BF226" s="164"/>
      <c r="BG226" s="164"/>
      <c r="BH226" s="164"/>
      <c r="BI226" s="164"/>
    </row>
    <row r="227" ht="15.75" customHeight="1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  <c r="AD227" s="164"/>
      <c r="AE227" s="164"/>
      <c r="AF227" s="164"/>
      <c r="AG227" s="164"/>
      <c r="AH227" s="164"/>
      <c r="AI227" s="164"/>
      <c r="AJ227" s="164"/>
      <c r="AK227" s="164"/>
      <c r="AL227" s="164"/>
      <c r="AM227" s="164"/>
      <c r="AN227" s="164"/>
      <c r="AO227" s="164"/>
      <c r="AP227" s="164"/>
      <c r="AQ227" s="164"/>
      <c r="AR227" s="164"/>
      <c r="AS227" s="164"/>
      <c r="AT227" s="164"/>
      <c r="AU227" s="164"/>
      <c r="AV227" s="164"/>
      <c r="AW227" s="164"/>
      <c r="AX227" s="164"/>
      <c r="AY227" s="164"/>
      <c r="AZ227" s="164"/>
      <c r="BA227" s="164"/>
      <c r="BB227" s="164"/>
      <c r="BC227" s="164"/>
      <c r="BD227" s="164"/>
      <c r="BE227" s="164"/>
      <c r="BF227" s="164"/>
      <c r="BG227" s="164"/>
      <c r="BH227" s="164"/>
      <c r="BI227" s="164"/>
    </row>
    <row r="228" ht="15.75" customHeight="1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  <c r="AE228" s="164"/>
      <c r="AF228" s="164"/>
      <c r="AG228" s="164"/>
      <c r="AH228" s="164"/>
      <c r="AI228" s="164"/>
      <c r="AJ228" s="164"/>
      <c r="AK228" s="164"/>
      <c r="AL228" s="164"/>
      <c r="AM228" s="164"/>
      <c r="AN228" s="164"/>
      <c r="AO228" s="164"/>
      <c r="AP228" s="164"/>
      <c r="AQ228" s="164"/>
      <c r="AR228" s="164"/>
      <c r="AS228" s="164"/>
      <c r="AT228" s="164"/>
      <c r="AU228" s="164"/>
      <c r="AV228" s="164"/>
      <c r="AW228" s="164"/>
      <c r="AX228" s="164"/>
      <c r="AY228" s="164"/>
      <c r="AZ228" s="164"/>
      <c r="BA228" s="164"/>
      <c r="BB228" s="164"/>
      <c r="BC228" s="164"/>
      <c r="BD228" s="164"/>
      <c r="BE228" s="164"/>
      <c r="BF228" s="164"/>
      <c r="BG228" s="164"/>
      <c r="BH228" s="164"/>
      <c r="BI228" s="164"/>
    </row>
    <row r="229" ht="15.75" customHeight="1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  <c r="AE229" s="164"/>
      <c r="AF229" s="164"/>
      <c r="AG229" s="164"/>
      <c r="AH229" s="164"/>
      <c r="AI229" s="164"/>
      <c r="AJ229" s="164"/>
      <c r="AK229" s="164"/>
      <c r="AL229" s="164"/>
      <c r="AM229" s="164"/>
      <c r="AN229" s="164"/>
      <c r="AO229" s="164"/>
      <c r="AP229" s="164"/>
      <c r="AQ229" s="164"/>
      <c r="AR229" s="164"/>
      <c r="AS229" s="164"/>
      <c r="AT229" s="164"/>
      <c r="AU229" s="164"/>
      <c r="AV229" s="164"/>
      <c r="AW229" s="164"/>
      <c r="AX229" s="164"/>
      <c r="AY229" s="164"/>
      <c r="AZ229" s="164"/>
      <c r="BA229" s="164"/>
      <c r="BB229" s="164"/>
      <c r="BC229" s="164"/>
      <c r="BD229" s="164"/>
      <c r="BE229" s="164"/>
      <c r="BF229" s="164"/>
      <c r="BG229" s="164"/>
      <c r="BH229" s="164"/>
      <c r="BI229" s="164"/>
    </row>
    <row r="230" ht="15.75" customHeight="1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  <c r="AD230" s="164"/>
      <c r="AE230" s="164"/>
      <c r="AF230" s="164"/>
      <c r="AG230" s="164"/>
      <c r="AH230" s="164"/>
      <c r="AI230" s="164"/>
      <c r="AJ230" s="164"/>
      <c r="AK230" s="164"/>
      <c r="AL230" s="164"/>
      <c r="AM230" s="164"/>
      <c r="AN230" s="164"/>
      <c r="AO230" s="164"/>
      <c r="AP230" s="164"/>
      <c r="AQ230" s="164"/>
      <c r="AR230" s="164"/>
      <c r="AS230" s="164"/>
      <c r="AT230" s="164"/>
      <c r="AU230" s="164"/>
      <c r="AV230" s="164"/>
      <c r="AW230" s="164"/>
      <c r="AX230" s="164"/>
      <c r="AY230" s="164"/>
      <c r="AZ230" s="164"/>
      <c r="BA230" s="164"/>
      <c r="BB230" s="164"/>
      <c r="BC230" s="164"/>
      <c r="BD230" s="164"/>
      <c r="BE230" s="164"/>
      <c r="BF230" s="164"/>
      <c r="BG230" s="164"/>
      <c r="BH230" s="164"/>
      <c r="BI230" s="164"/>
    </row>
    <row r="231" ht="15.75" customHeight="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  <c r="AD231" s="164"/>
      <c r="AE231" s="164"/>
      <c r="AF231" s="164"/>
      <c r="AG231" s="164"/>
      <c r="AH231" s="164"/>
      <c r="AI231" s="164"/>
      <c r="AJ231" s="164"/>
      <c r="AK231" s="164"/>
      <c r="AL231" s="164"/>
      <c r="AM231" s="164"/>
      <c r="AN231" s="164"/>
      <c r="AO231" s="164"/>
      <c r="AP231" s="164"/>
      <c r="AQ231" s="164"/>
      <c r="AR231" s="164"/>
      <c r="AS231" s="164"/>
      <c r="AT231" s="164"/>
      <c r="AU231" s="164"/>
      <c r="AV231" s="164"/>
      <c r="AW231" s="164"/>
      <c r="AX231" s="164"/>
      <c r="AY231" s="164"/>
      <c r="AZ231" s="164"/>
      <c r="BA231" s="164"/>
      <c r="BB231" s="164"/>
      <c r="BC231" s="164"/>
      <c r="BD231" s="164"/>
      <c r="BE231" s="164"/>
      <c r="BF231" s="164"/>
      <c r="BG231" s="164"/>
      <c r="BH231" s="164"/>
      <c r="BI231" s="164"/>
    </row>
    <row r="232" ht="15.75" customHeight="1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  <c r="AD232" s="164"/>
      <c r="AE232" s="164"/>
      <c r="AF232" s="164"/>
      <c r="AG232" s="164"/>
      <c r="AH232" s="164"/>
      <c r="AI232" s="164"/>
      <c r="AJ232" s="164"/>
      <c r="AK232" s="164"/>
      <c r="AL232" s="164"/>
      <c r="AM232" s="164"/>
      <c r="AN232" s="164"/>
      <c r="AO232" s="164"/>
      <c r="AP232" s="164"/>
      <c r="AQ232" s="164"/>
      <c r="AR232" s="164"/>
      <c r="AS232" s="164"/>
      <c r="AT232" s="164"/>
      <c r="AU232" s="164"/>
      <c r="AV232" s="164"/>
      <c r="AW232" s="164"/>
      <c r="AX232" s="164"/>
      <c r="AY232" s="164"/>
      <c r="AZ232" s="164"/>
      <c r="BA232" s="164"/>
      <c r="BB232" s="164"/>
      <c r="BC232" s="164"/>
      <c r="BD232" s="164"/>
      <c r="BE232" s="164"/>
      <c r="BF232" s="164"/>
      <c r="BG232" s="164"/>
      <c r="BH232" s="164"/>
      <c r="BI232" s="164"/>
    </row>
    <row r="233" ht="15.75" customHeight="1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  <c r="AD233" s="164"/>
      <c r="AE233" s="164"/>
      <c r="AF233" s="164"/>
      <c r="AG233" s="164"/>
      <c r="AH233" s="164"/>
      <c r="AI233" s="164"/>
      <c r="AJ233" s="164"/>
      <c r="AK233" s="164"/>
      <c r="AL233" s="164"/>
      <c r="AM233" s="164"/>
      <c r="AN233" s="164"/>
      <c r="AO233" s="164"/>
      <c r="AP233" s="164"/>
      <c r="AQ233" s="164"/>
      <c r="AR233" s="164"/>
      <c r="AS233" s="164"/>
      <c r="AT233" s="164"/>
      <c r="AU233" s="164"/>
      <c r="AV233" s="164"/>
      <c r="AW233" s="164"/>
      <c r="AX233" s="164"/>
      <c r="AY233" s="164"/>
      <c r="AZ233" s="164"/>
      <c r="BA233" s="164"/>
      <c r="BB233" s="164"/>
      <c r="BC233" s="164"/>
      <c r="BD233" s="164"/>
      <c r="BE233" s="164"/>
      <c r="BF233" s="164"/>
      <c r="BG233" s="164"/>
      <c r="BH233" s="164"/>
      <c r="BI233" s="164"/>
    </row>
    <row r="234" ht="15.75" customHeight="1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  <c r="AD234" s="164"/>
      <c r="AE234" s="164"/>
      <c r="AF234" s="164"/>
      <c r="AG234" s="164"/>
      <c r="AH234" s="164"/>
      <c r="AI234" s="164"/>
      <c r="AJ234" s="164"/>
      <c r="AK234" s="164"/>
      <c r="AL234" s="164"/>
      <c r="AM234" s="164"/>
      <c r="AN234" s="164"/>
      <c r="AO234" s="164"/>
      <c r="AP234" s="164"/>
      <c r="AQ234" s="164"/>
      <c r="AR234" s="164"/>
      <c r="AS234" s="164"/>
      <c r="AT234" s="164"/>
      <c r="AU234" s="164"/>
      <c r="AV234" s="164"/>
      <c r="AW234" s="164"/>
      <c r="AX234" s="164"/>
      <c r="AY234" s="164"/>
      <c r="AZ234" s="164"/>
      <c r="BA234" s="164"/>
      <c r="BB234" s="164"/>
      <c r="BC234" s="164"/>
      <c r="BD234" s="164"/>
      <c r="BE234" s="164"/>
      <c r="BF234" s="164"/>
      <c r="BG234" s="164"/>
      <c r="BH234" s="164"/>
      <c r="BI234" s="164"/>
    </row>
    <row r="235" ht="15.75" customHeight="1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  <c r="AD235" s="164"/>
      <c r="AE235" s="164"/>
      <c r="AF235" s="164"/>
      <c r="AG235" s="164"/>
      <c r="AH235" s="164"/>
      <c r="AI235" s="164"/>
      <c r="AJ235" s="164"/>
      <c r="AK235" s="164"/>
      <c r="AL235" s="164"/>
      <c r="AM235" s="164"/>
      <c r="AN235" s="164"/>
      <c r="AO235" s="164"/>
      <c r="AP235" s="164"/>
      <c r="AQ235" s="164"/>
      <c r="AR235" s="164"/>
      <c r="AS235" s="164"/>
      <c r="AT235" s="164"/>
      <c r="AU235" s="164"/>
      <c r="AV235" s="164"/>
      <c r="AW235" s="164"/>
      <c r="AX235" s="164"/>
      <c r="AY235" s="164"/>
      <c r="AZ235" s="164"/>
      <c r="BA235" s="164"/>
      <c r="BB235" s="164"/>
      <c r="BC235" s="164"/>
      <c r="BD235" s="164"/>
      <c r="BE235" s="164"/>
      <c r="BF235" s="164"/>
      <c r="BG235" s="164"/>
      <c r="BH235" s="164"/>
      <c r="BI235" s="164"/>
    </row>
    <row r="236" ht="15.75" customHeight="1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  <c r="AD236" s="164"/>
      <c r="AE236" s="164"/>
      <c r="AF236" s="164"/>
      <c r="AG236" s="164"/>
      <c r="AH236" s="164"/>
      <c r="AI236" s="164"/>
      <c r="AJ236" s="164"/>
      <c r="AK236" s="164"/>
      <c r="AL236" s="164"/>
      <c r="AM236" s="164"/>
      <c r="AN236" s="164"/>
      <c r="AO236" s="164"/>
      <c r="AP236" s="164"/>
      <c r="AQ236" s="164"/>
      <c r="AR236" s="164"/>
      <c r="AS236" s="164"/>
      <c r="AT236" s="164"/>
      <c r="AU236" s="164"/>
      <c r="AV236" s="164"/>
      <c r="AW236" s="164"/>
      <c r="AX236" s="164"/>
      <c r="AY236" s="164"/>
      <c r="AZ236" s="164"/>
      <c r="BA236" s="164"/>
      <c r="BB236" s="164"/>
      <c r="BC236" s="164"/>
      <c r="BD236" s="164"/>
      <c r="BE236" s="164"/>
      <c r="BF236" s="164"/>
      <c r="BG236" s="164"/>
      <c r="BH236" s="164"/>
      <c r="BI236" s="164"/>
    </row>
    <row r="237" ht="15.75" customHeight="1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  <c r="AD237" s="164"/>
      <c r="AE237" s="164"/>
      <c r="AF237" s="164"/>
      <c r="AG237" s="164"/>
      <c r="AH237" s="164"/>
      <c r="AI237" s="164"/>
      <c r="AJ237" s="164"/>
      <c r="AK237" s="164"/>
      <c r="AL237" s="164"/>
      <c r="AM237" s="164"/>
      <c r="AN237" s="164"/>
      <c r="AO237" s="164"/>
      <c r="AP237" s="164"/>
      <c r="AQ237" s="164"/>
      <c r="AR237" s="164"/>
      <c r="AS237" s="164"/>
      <c r="AT237" s="164"/>
      <c r="AU237" s="164"/>
      <c r="AV237" s="164"/>
      <c r="AW237" s="164"/>
      <c r="AX237" s="164"/>
      <c r="AY237" s="164"/>
      <c r="AZ237" s="164"/>
      <c r="BA237" s="164"/>
      <c r="BB237" s="164"/>
      <c r="BC237" s="164"/>
      <c r="BD237" s="164"/>
      <c r="BE237" s="164"/>
      <c r="BF237" s="164"/>
      <c r="BG237" s="164"/>
      <c r="BH237" s="164"/>
      <c r="BI237" s="164"/>
    </row>
    <row r="238" ht="15.75" customHeight="1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  <c r="AD238" s="164"/>
      <c r="AE238" s="164"/>
      <c r="AF238" s="164"/>
      <c r="AG238" s="164"/>
      <c r="AH238" s="164"/>
      <c r="AI238" s="164"/>
      <c r="AJ238" s="164"/>
      <c r="AK238" s="164"/>
      <c r="AL238" s="164"/>
      <c r="AM238" s="164"/>
      <c r="AN238" s="164"/>
      <c r="AO238" s="164"/>
      <c r="AP238" s="164"/>
      <c r="AQ238" s="164"/>
      <c r="AR238" s="164"/>
      <c r="AS238" s="164"/>
      <c r="AT238" s="164"/>
      <c r="AU238" s="164"/>
      <c r="AV238" s="164"/>
      <c r="AW238" s="164"/>
      <c r="AX238" s="164"/>
      <c r="AY238" s="164"/>
      <c r="AZ238" s="164"/>
      <c r="BA238" s="164"/>
      <c r="BB238" s="164"/>
      <c r="BC238" s="164"/>
      <c r="BD238" s="164"/>
      <c r="BE238" s="164"/>
      <c r="BF238" s="164"/>
      <c r="BG238" s="164"/>
      <c r="BH238" s="164"/>
      <c r="BI238" s="164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E2:H2"/>
    <mergeCell ref="I2:K2"/>
    <mergeCell ref="L2:M2"/>
    <mergeCell ref="N2:Q2"/>
    <mergeCell ref="C1:G1"/>
    <mergeCell ref="H1:K1"/>
    <mergeCell ref="L1:M1"/>
    <mergeCell ref="Z1:AC2"/>
    <mergeCell ref="AX1:BA2"/>
    <mergeCell ref="C2:D2"/>
    <mergeCell ref="R2:S2"/>
    <mergeCell ref="N1:S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2.63"/>
    <col customWidth="1" min="2" max="2" width="17.75"/>
    <col customWidth="1" min="3" max="16" width="8.13"/>
    <col customWidth="1" min="17" max="18" width="8.75"/>
    <col customWidth="1" min="19" max="19" width="8.13"/>
    <col customWidth="1" min="20" max="26" width="8.88"/>
    <col customWidth="1" min="27" max="27" width="9.75"/>
    <col customWidth="1" min="28" max="28" width="10.75"/>
    <col customWidth="1" min="29" max="29" width="9.75"/>
    <col customWidth="1" min="30" max="32" width="8.13"/>
    <col customWidth="1" min="33" max="33" width="14.63"/>
    <col customWidth="1" hidden="1" min="34" max="49" width="8.13"/>
    <col customWidth="1" min="50" max="61" width="8.13"/>
  </cols>
  <sheetData>
    <row r="1" ht="29.25" customHeight="1">
      <c r="A1" s="51" t="s">
        <v>125</v>
      </c>
      <c r="B1" s="52"/>
      <c r="C1" s="53" t="s">
        <v>126</v>
      </c>
      <c r="D1" s="54"/>
      <c r="E1" s="54"/>
      <c r="F1" s="54"/>
      <c r="G1" s="55"/>
      <c r="H1" s="53" t="s">
        <v>127</v>
      </c>
      <c r="I1" s="54"/>
      <c r="J1" s="54"/>
      <c r="K1" s="55"/>
      <c r="L1" s="53" t="s">
        <v>128</v>
      </c>
      <c r="M1" s="55"/>
      <c r="N1" s="53" t="s">
        <v>129</v>
      </c>
      <c r="O1" s="54"/>
      <c r="P1" s="54"/>
      <c r="Q1" s="54"/>
      <c r="R1" s="54"/>
      <c r="S1" s="55"/>
      <c r="T1" s="56"/>
      <c r="U1" s="56"/>
      <c r="V1" s="56"/>
      <c r="W1" s="56"/>
      <c r="X1" s="56"/>
      <c r="Y1" s="56"/>
      <c r="Z1" s="57" t="s">
        <v>130</v>
      </c>
      <c r="AA1" s="58"/>
      <c r="AB1" s="58"/>
      <c r="AC1" s="59"/>
      <c r="AD1" s="60"/>
      <c r="AE1" s="60"/>
      <c r="AF1" s="61" t="s">
        <v>125</v>
      </c>
      <c r="AG1" s="62"/>
      <c r="AH1" s="63" t="s">
        <v>126</v>
      </c>
      <c r="AI1" s="63"/>
      <c r="AJ1" s="63"/>
      <c r="AK1" s="63"/>
      <c r="AL1" s="64"/>
      <c r="AM1" s="63" t="s">
        <v>127</v>
      </c>
      <c r="AN1" s="64"/>
      <c r="AO1" s="63" t="s">
        <v>128</v>
      </c>
      <c r="AP1" s="64"/>
      <c r="AQ1" s="63" t="s">
        <v>129</v>
      </c>
      <c r="AR1" s="63"/>
      <c r="AS1" s="63"/>
      <c r="AT1" s="63"/>
      <c r="AU1" s="63"/>
      <c r="AV1" s="63"/>
      <c r="AW1" s="63"/>
      <c r="AX1" s="65" t="s">
        <v>130</v>
      </c>
      <c r="AY1" s="58"/>
      <c r="AZ1" s="58"/>
      <c r="BA1" s="59"/>
      <c r="BB1" s="60"/>
      <c r="BC1" s="60"/>
      <c r="BD1" s="60"/>
      <c r="BE1" s="60"/>
      <c r="BF1" s="60"/>
      <c r="BG1" s="60"/>
      <c r="BH1" s="60"/>
      <c r="BI1" s="60"/>
    </row>
    <row r="2" ht="60.0" customHeight="1">
      <c r="A2" s="66"/>
      <c r="B2" s="52"/>
      <c r="C2" s="67" t="s">
        <v>131</v>
      </c>
      <c r="D2" s="55"/>
      <c r="E2" s="67" t="s">
        <v>132</v>
      </c>
      <c r="F2" s="54"/>
      <c r="G2" s="54"/>
      <c r="H2" s="55"/>
      <c r="I2" s="67" t="s">
        <v>133</v>
      </c>
      <c r="J2" s="54"/>
      <c r="K2" s="55"/>
      <c r="L2" s="67" t="s">
        <v>134</v>
      </c>
      <c r="M2" s="55"/>
      <c r="N2" s="67" t="s">
        <v>131</v>
      </c>
      <c r="O2" s="54"/>
      <c r="P2" s="54"/>
      <c r="Q2" s="55"/>
      <c r="R2" s="67" t="s">
        <v>132</v>
      </c>
      <c r="S2" s="55"/>
      <c r="T2" s="56"/>
      <c r="U2" s="56"/>
      <c r="V2" s="56"/>
      <c r="W2" s="56"/>
      <c r="X2" s="56"/>
      <c r="Y2" s="56"/>
      <c r="Z2" s="68"/>
      <c r="AA2" s="69"/>
      <c r="AB2" s="69"/>
      <c r="AC2" s="70"/>
      <c r="AD2" s="60"/>
      <c r="AE2" s="60"/>
      <c r="AF2" s="71"/>
      <c r="AG2" s="62"/>
      <c r="AH2" s="72" t="s">
        <v>135</v>
      </c>
      <c r="AI2" s="72"/>
      <c r="AJ2" s="73"/>
      <c r="AK2" s="72" t="s">
        <v>136</v>
      </c>
      <c r="AL2" s="73"/>
      <c r="AM2" s="72" t="s">
        <v>136</v>
      </c>
      <c r="AN2" s="73"/>
      <c r="AO2" s="72" t="s">
        <v>135</v>
      </c>
      <c r="AP2" s="73"/>
      <c r="AQ2" s="72" t="s">
        <v>135</v>
      </c>
      <c r="AR2" s="72"/>
      <c r="AS2" s="73"/>
      <c r="AT2" s="74"/>
      <c r="AU2" s="75" t="s">
        <v>136</v>
      </c>
      <c r="AV2" s="75"/>
      <c r="AW2" s="76"/>
      <c r="AX2" s="68"/>
      <c r="AY2" s="69"/>
      <c r="AZ2" s="69"/>
      <c r="BA2" s="70"/>
      <c r="BB2" s="60"/>
      <c r="BC2" s="60"/>
      <c r="BD2" s="60"/>
      <c r="BE2" s="60"/>
      <c r="BF2" s="60"/>
      <c r="BG2" s="60"/>
      <c r="BH2" s="60"/>
      <c r="BI2" s="60"/>
    </row>
    <row r="3" ht="190.5" customHeight="1">
      <c r="A3" s="66"/>
      <c r="B3" s="167" t="s">
        <v>35</v>
      </c>
      <c r="C3" s="78" t="s">
        <v>137</v>
      </c>
      <c r="D3" s="78" t="s">
        <v>138</v>
      </c>
      <c r="E3" s="78" t="s">
        <v>137</v>
      </c>
      <c r="F3" s="212" t="s">
        <v>139</v>
      </c>
      <c r="G3" s="79" t="s">
        <v>140</v>
      </c>
      <c r="H3" s="79" t="s">
        <v>141</v>
      </c>
      <c r="I3" s="79" t="s">
        <v>142</v>
      </c>
      <c r="J3" s="79" t="s">
        <v>143</v>
      </c>
      <c r="K3" s="79" t="s">
        <v>144</v>
      </c>
      <c r="L3" s="80" t="s">
        <v>145</v>
      </c>
      <c r="M3" s="81" t="s">
        <v>265</v>
      </c>
      <c r="N3" s="80" t="s">
        <v>147</v>
      </c>
      <c r="O3" s="80" t="s">
        <v>148</v>
      </c>
      <c r="P3" s="80" t="s">
        <v>149</v>
      </c>
      <c r="Q3" s="80" t="s">
        <v>150</v>
      </c>
      <c r="R3" s="80" t="s">
        <v>148</v>
      </c>
      <c r="S3" s="80" t="s">
        <v>150</v>
      </c>
      <c r="T3" s="82" t="s">
        <v>151</v>
      </c>
      <c r="U3" s="82" t="s">
        <v>152</v>
      </c>
      <c r="V3" s="82" t="s">
        <v>153</v>
      </c>
      <c r="W3" s="82" t="s">
        <v>154</v>
      </c>
      <c r="X3" s="83" t="s">
        <v>155</v>
      </c>
      <c r="Y3" s="83" t="s">
        <v>156</v>
      </c>
      <c r="Z3" s="84" t="s">
        <v>157</v>
      </c>
      <c r="AA3" s="84" t="s">
        <v>158</v>
      </c>
      <c r="AB3" s="84" t="s">
        <v>159</v>
      </c>
      <c r="AC3" s="84" t="s">
        <v>160</v>
      </c>
      <c r="AD3" s="85"/>
      <c r="AE3" s="85"/>
      <c r="AF3" s="71"/>
      <c r="AG3" s="86" t="s">
        <v>35</v>
      </c>
      <c r="AH3" s="87" t="s">
        <v>161</v>
      </c>
      <c r="AI3" s="87" t="s">
        <v>162</v>
      </c>
      <c r="AJ3" s="88" t="s">
        <v>163</v>
      </c>
      <c r="AK3" s="89" t="s">
        <v>164</v>
      </c>
      <c r="AL3" s="90" t="s">
        <v>165</v>
      </c>
      <c r="AM3" s="90" t="s">
        <v>141</v>
      </c>
      <c r="AN3" s="90" t="s">
        <v>166</v>
      </c>
      <c r="AO3" s="91" t="s">
        <v>145</v>
      </c>
      <c r="AP3" s="91" t="s">
        <v>167</v>
      </c>
      <c r="AQ3" s="90" t="s">
        <v>168</v>
      </c>
      <c r="AR3" s="90" t="s">
        <v>148</v>
      </c>
      <c r="AS3" s="90" t="s">
        <v>169</v>
      </c>
      <c r="AT3" s="90" t="s">
        <v>150</v>
      </c>
      <c r="AU3" s="90" t="s">
        <v>170</v>
      </c>
      <c r="AV3" s="90" t="s">
        <v>171</v>
      </c>
      <c r="AW3" s="92" t="s">
        <v>172</v>
      </c>
      <c r="AX3" s="93" t="s">
        <v>157</v>
      </c>
      <c r="AY3" s="93" t="s">
        <v>158</v>
      </c>
      <c r="AZ3" s="93" t="s">
        <v>159</v>
      </c>
      <c r="BA3" s="93" t="s">
        <v>160</v>
      </c>
      <c r="BB3" s="85"/>
      <c r="BC3" s="85"/>
      <c r="BD3" s="85"/>
      <c r="BE3" s="85"/>
      <c r="BF3" s="85"/>
      <c r="BG3" s="85"/>
      <c r="BH3" s="85"/>
      <c r="BI3" s="85"/>
    </row>
    <row r="4" ht="153.0" customHeight="1">
      <c r="A4" s="94"/>
      <c r="B4" s="170" t="s">
        <v>1</v>
      </c>
      <c r="C4" s="96" t="s">
        <v>266</v>
      </c>
      <c r="D4" s="96" t="s">
        <v>267</v>
      </c>
      <c r="E4" s="96" t="s">
        <v>268</v>
      </c>
      <c r="F4" s="213" t="s">
        <v>269</v>
      </c>
      <c r="G4" s="97" t="s">
        <v>270</v>
      </c>
      <c r="H4" s="97" t="s">
        <v>271</v>
      </c>
      <c r="I4" s="97" t="s">
        <v>272</v>
      </c>
      <c r="J4" s="97" t="s">
        <v>273</v>
      </c>
      <c r="K4" s="97" t="s">
        <v>274</v>
      </c>
      <c r="L4" s="96" t="s">
        <v>275</v>
      </c>
      <c r="M4" s="172" t="s">
        <v>276</v>
      </c>
      <c r="N4" s="96" t="s">
        <v>277</v>
      </c>
      <c r="O4" s="96" t="s">
        <v>278</v>
      </c>
      <c r="P4" s="96" t="s">
        <v>279</v>
      </c>
      <c r="Q4" s="268" t="s">
        <v>280</v>
      </c>
      <c r="R4" s="96" t="s">
        <v>281</v>
      </c>
      <c r="S4" s="268" t="s">
        <v>280</v>
      </c>
      <c r="T4" s="100"/>
      <c r="U4" s="100"/>
      <c r="V4" s="100"/>
      <c r="W4" s="100"/>
      <c r="X4" s="100"/>
      <c r="Y4" s="100"/>
      <c r="Z4" s="173"/>
      <c r="AA4" s="173"/>
      <c r="AB4" s="173"/>
      <c r="AC4" s="173"/>
      <c r="AD4" s="103"/>
      <c r="AE4" s="103"/>
      <c r="AF4" s="104"/>
      <c r="AG4" s="105" t="s">
        <v>1</v>
      </c>
      <c r="AH4" s="106" t="s">
        <v>189</v>
      </c>
      <c r="AI4" s="106" t="s">
        <v>189</v>
      </c>
      <c r="AJ4" s="107" t="s">
        <v>190</v>
      </c>
      <c r="AK4" s="107" t="s">
        <v>191</v>
      </c>
      <c r="AL4" s="107" t="s">
        <v>192</v>
      </c>
      <c r="AM4" s="107" t="s">
        <v>193</v>
      </c>
      <c r="AN4" s="107" t="s">
        <v>194</v>
      </c>
      <c r="AO4" s="108" t="s">
        <v>195</v>
      </c>
      <c r="AP4" s="109" t="s">
        <v>196</v>
      </c>
      <c r="AQ4" s="107" t="s">
        <v>197</v>
      </c>
      <c r="AR4" s="107" t="s">
        <v>198</v>
      </c>
      <c r="AS4" s="107" t="s">
        <v>199</v>
      </c>
      <c r="AT4" s="107" t="s">
        <v>189</v>
      </c>
      <c r="AU4" s="107" t="s">
        <v>200</v>
      </c>
      <c r="AV4" s="107" t="s">
        <v>201</v>
      </c>
      <c r="AW4" s="110" t="s">
        <v>202</v>
      </c>
      <c r="AX4" s="111"/>
      <c r="AY4" s="111"/>
      <c r="AZ4" s="111"/>
      <c r="BA4" s="111"/>
      <c r="BB4" s="103"/>
      <c r="BC4" s="103"/>
      <c r="BD4" s="103"/>
      <c r="BE4" s="103"/>
      <c r="BF4" s="103"/>
      <c r="BG4" s="103"/>
      <c r="BH4" s="103"/>
      <c r="BI4" s="103"/>
    </row>
    <row r="5" ht="15.75" customHeight="1">
      <c r="A5" s="112"/>
      <c r="B5" s="42" t="s">
        <v>41</v>
      </c>
      <c r="C5" s="269">
        <v>446.0</v>
      </c>
      <c r="D5" s="269">
        <v>720.0</v>
      </c>
      <c r="E5" s="269" t="s">
        <v>229</v>
      </c>
      <c r="F5" s="269"/>
      <c r="G5" s="269"/>
      <c r="H5" s="269"/>
      <c r="I5" s="269">
        <v>222.0</v>
      </c>
      <c r="J5" s="269">
        <v>98.0</v>
      </c>
      <c r="K5" s="269">
        <v>0.0</v>
      </c>
      <c r="L5" s="269">
        <v>78463.0</v>
      </c>
      <c r="M5" s="269">
        <v>42080.0</v>
      </c>
      <c r="N5" s="269">
        <v>2347.0</v>
      </c>
      <c r="O5" s="269">
        <v>8665.0</v>
      </c>
      <c r="P5" s="269">
        <v>64418.0</v>
      </c>
      <c r="Q5" s="270">
        <v>1603.0</v>
      </c>
      <c r="R5" s="269" t="s">
        <v>229</v>
      </c>
      <c r="S5" s="270" t="s">
        <v>229</v>
      </c>
      <c r="T5" s="114"/>
      <c r="U5" s="114"/>
      <c r="V5" s="114"/>
      <c r="W5" s="114"/>
      <c r="X5" s="114"/>
      <c r="Y5" s="114"/>
      <c r="Z5" s="114">
        <f t="shared" ref="Z5:Z37" si="1">SUM(C5:K5)</f>
        <v>1486</v>
      </c>
      <c r="AA5" s="114">
        <f t="shared" ref="AA5:AA37" si="2">((L5+M5)-(SUM(N5:S5)))</f>
        <v>43510</v>
      </c>
      <c r="AB5" s="115">
        <f t="shared" ref="AB5:AB38" si="3">Z5/AA5</f>
        <v>0.03415306826</v>
      </c>
      <c r="AC5" s="115">
        <f t="shared" ref="AC5:AC38" si="4">100%-AB5</f>
        <v>0.9658469317</v>
      </c>
      <c r="AD5" s="116"/>
      <c r="AE5" s="116"/>
      <c r="AF5" s="117"/>
      <c r="AG5" s="118"/>
      <c r="AH5" s="119"/>
      <c r="AI5" s="119"/>
      <c r="AJ5" s="119"/>
      <c r="AK5" s="120"/>
      <c r="AL5" s="119"/>
      <c r="AM5" s="119"/>
      <c r="AN5" s="119"/>
      <c r="AO5" s="121"/>
      <c r="AP5" s="122"/>
      <c r="AQ5" s="119"/>
      <c r="AR5" s="119"/>
      <c r="AS5" s="119"/>
      <c r="AT5" s="119"/>
      <c r="AU5" s="119"/>
      <c r="AV5" s="119"/>
      <c r="AW5" s="120"/>
      <c r="AX5" s="120"/>
      <c r="AY5" s="120"/>
      <c r="AZ5" s="123"/>
      <c r="BA5" s="123"/>
      <c r="BB5" s="116"/>
      <c r="BC5" s="116"/>
      <c r="BD5" s="116"/>
      <c r="BE5" s="116"/>
      <c r="BF5" s="116"/>
      <c r="BG5" s="116"/>
      <c r="BH5" s="116"/>
      <c r="BI5" s="116"/>
    </row>
    <row r="6" ht="15.75" customHeight="1">
      <c r="A6" s="112"/>
      <c r="B6" s="38" t="s">
        <v>43</v>
      </c>
      <c r="C6" s="269">
        <v>1000.0</v>
      </c>
      <c r="D6" s="269">
        <v>803.0</v>
      </c>
      <c r="E6" s="269"/>
      <c r="F6" s="269"/>
      <c r="G6" s="269">
        <v>605.0</v>
      </c>
      <c r="H6" s="269">
        <v>711.0</v>
      </c>
      <c r="I6" s="269">
        <v>62.0</v>
      </c>
      <c r="J6" s="269">
        <v>31.0</v>
      </c>
      <c r="K6" s="269">
        <v>1.0</v>
      </c>
      <c r="L6" s="269">
        <v>31738.0</v>
      </c>
      <c r="M6" s="269">
        <v>75104.0</v>
      </c>
      <c r="N6" s="269">
        <v>77.0</v>
      </c>
      <c r="O6" s="269">
        <v>84.0</v>
      </c>
      <c r="P6" s="269">
        <v>1533.0</v>
      </c>
      <c r="Q6" s="270"/>
      <c r="R6" s="269"/>
      <c r="S6" s="270"/>
      <c r="T6" s="130">
        <f t="shared" ref="T6:T37" si="5">C6+D6+E6+F6+G6</f>
        <v>2408</v>
      </c>
      <c r="U6" s="130">
        <f t="shared" ref="U6:U37" si="6">H6+I6+J6+K6</f>
        <v>805</v>
      </c>
      <c r="V6" s="130">
        <f t="shared" ref="V6:V37" si="7">L6+M6</f>
        <v>106842</v>
      </c>
      <c r="W6" s="130">
        <f t="shared" ref="W6:W37" si="8">N6+O6+P6+Q6+R6+S6</f>
        <v>1694</v>
      </c>
      <c r="X6" s="116">
        <f t="shared" ref="X6:X38" si="9">(T6+U6)/(V6-W6)</f>
        <v>0.03055692928</v>
      </c>
      <c r="Y6" s="116">
        <f t="shared" ref="Y6:Y38" si="10">1-X6</f>
        <v>0.9694430707</v>
      </c>
      <c r="Z6" s="114">
        <f t="shared" si="1"/>
        <v>3213</v>
      </c>
      <c r="AA6" s="114">
        <f t="shared" si="2"/>
        <v>105148</v>
      </c>
      <c r="AB6" s="115">
        <f t="shared" si="3"/>
        <v>0.03055692928</v>
      </c>
      <c r="AC6" s="115">
        <f t="shared" si="4"/>
        <v>0.9694430707</v>
      </c>
      <c r="AD6" s="116"/>
      <c r="AE6" s="116"/>
      <c r="AF6" s="117"/>
      <c r="AG6" s="118" t="s">
        <v>43</v>
      </c>
      <c r="AH6" s="119">
        <v>6.0</v>
      </c>
      <c r="AI6" s="119">
        <v>11.0</v>
      </c>
      <c r="AJ6" s="119">
        <v>469.0</v>
      </c>
      <c r="AK6" s="120">
        <v>0.0</v>
      </c>
      <c r="AL6" s="119">
        <v>70.0</v>
      </c>
      <c r="AM6" s="119">
        <v>262.0</v>
      </c>
      <c r="AN6" s="119">
        <v>4.0</v>
      </c>
      <c r="AO6" s="121">
        <v>40597.0</v>
      </c>
      <c r="AP6" s="131">
        <v>23591.0</v>
      </c>
      <c r="AQ6" s="119">
        <v>28.0</v>
      </c>
      <c r="AR6" s="119">
        <v>880.0</v>
      </c>
      <c r="AS6" s="119">
        <v>903.0</v>
      </c>
      <c r="AT6" s="119">
        <v>55.0</v>
      </c>
      <c r="AU6" s="119">
        <v>18.0</v>
      </c>
      <c r="AV6" s="119">
        <v>55.0</v>
      </c>
      <c r="AW6" s="120">
        <v>11.0</v>
      </c>
      <c r="AX6" s="120">
        <v>3819.0</v>
      </c>
      <c r="AY6" s="120">
        <v>77352.0</v>
      </c>
      <c r="AZ6" s="123">
        <v>0.04937170338194229</v>
      </c>
      <c r="BA6" s="123">
        <v>0.9506282966180577</v>
      </c>
      <c r="BB6" s="116"/>
      <c r="BC6" s="116"/>
      <c r="BD6" s="116"/>
      <c r="BE6" s="116"/>
      <c r="BF6" s="116"/>
      <c r="BG6" s="116"/>
      <c r="BH6" s="116"/>
      <c r="BI6" s="116"/>
    </row>
    <row r="7" ht="15.75" customHeight="1">
      <c r="A7" s="179"/>
      <c r="B7" s="38" t="s">
        <v>45</v>
      </c>
      <c r="C7" s="269">
        <v>25152.0</v>
      </c>
      <c r="D7" s="269">
        <v>78.0</v>
      </c>
      <c r="E7" s="269">
        <v>2.0</v>
      </c>
      <c r="F7" s="269"/>
      <c r="G7" s="269">
        <v>3.0</v>
      </c>
      <c r="H7" s="269">
        <v>167.0</v>
      </c>
      <c r="I7" s="269">
        <v>7.0</v>
      </c>
      <c r="J7" s="269">
        <v>2.0</v>
      </c>
      <c r="K7" s="269">
        <v>0.0</v>
      </c>
      <c r="L7" s="269">
        <v>85814.0</v>
      </c>
      <c r="M7" s="269">
        <v>73809.0</v>
      </c>
      <c r="N7" s="269">
        <v>8665.0</v>
      </c>
      <c r="O7" s="269">
        <v>1370.0</v>
      </c>
      <c r="P7" s="269">
        <v>85067.0</v>
      </c>
      <c r="Q7" s="270"/>
      <c r="R7" s="269">
        <v>5.0</v>
      </c>
      <c r="S7" s="270"/>
      <c r="T7" s="130">
        <f t="shared" si="5"/>
        <v>25235</v>
      </c>
      <c r="U7" s="130">
        <f t="shared" si="6"/>
        <v>176</v>
      </c>
      <c r="V7" s="130">
        <f t="shared" si="7"/>
        <v>159623</v>
      </c>
      <c r="W7" s="130">
        <f t="shared" si="8"/>
        <v>95107</v>
      </c>
      <c r="X7" s="116">
        <f t="shared" si="9"/>
        <v>0.3938712877</v>
      </c>
      <c r="Y7" s="116">
        <f t="shared" si="10"/>
        <v>0.6061287123</v>
      </c>
      <c r="Z7" s="114">
        <f t="shared" si="1"/>
        <v>25411</v>
      </c>
      <c r="AA7" s="114">
        <f t="shared" si="2"/>
        <v>64516</v>
      </c>
      <c r="AB7" s="115">
        <f t="shared" si="3"/>
        <v>0.3938712877</v>
      </c>
      <c r="AC7" s="115">
        <f t="shared" si="4"/>
        <v>0.6061287123</v>
      </c>
      <c r="AD7" s="116"/>
      <c r="AE7" s="116"/>
      <c r="AF7" s="117"/>
      <c r="AG7" s="118" t="s">
        <v>45</v>
      </c>
      <c r="AH7" s="119">
        <v>13752.0</v>
      </c>
      <c r="AI7" s="119">
        <v>357.0</v>
      </c>
      <c r="AJ7" s="119">
        <v>3541.0</v>
      </c>
      <c r="AK7" s="120">
        <v>604.0</v>
      </c>
      <c r="AL7" s="119">
        <v>60.0</v>
      </c>
      <c r="AM7" s="119">
        <v>197.0</v>
      </c>
      <c r="AN7" s="119">
        <v>0.0</v>
      </c>
      <c r="AO7" s="121">
        <v>147385.0</v>
      </c>
      <c r="AP7" s="131">
        <v>81827.0</v>
      </c>
      <c r="AQ7" s="119">
        <v>1426.0</v>
      </c>
      <c r="AR7" s="119">
        <v>1057.0</v>
      </c>
      <c r="AS7" s="119">
        <v>20490.0</v>
      </c>
      <c r="AT7" s="119">
        <v>150.0</v>
      </c>
      <c r="AU7" s="119">
        <v>40.0</v>
      </c>
      <c r="AV7" s="119">
        <v>150.0</v>
      </c>
      <c r="AW7" s="120">
        <v>357.0</v>
      </c>
      <c r="AX7" s="120">
        <v>25481.0</v>
      </c>
      <c r="AY7" s="120">
        <v>421823.0</v>
      </c>
      <c r="AZ7" s="123">
        <v>0.0604068531113761</v>
      </c>
      <c r="BA7" s="123">
        <v>0.9395931468886239</v>
      </c>
      <c r="BB7" s="116"/>
      <c r="BC7" s="116"/>
      <c r="BD7" s="116"/>
      <c r="BE7" s="116"/>
      <c r="BF7" s="116"/>
      <c r="BG7" s="116"/>
      <c r="BH7" s="116"/>
      <c r="BI7" s="116"/>
    </row>
    <row r="8" ht="15.75" customHeight="1">
      <c r="A8" s="112"/>
      <c r="B8" s="38" t="s">
        <v>46</v>
      </c>
      <c r="C8" s="269">
        <v>224.0</v>
      </c>
      <c r="D8" s="269">
        <v>156.0</v>
      </c>
      <c r="E8" s="269">
        <v>0.0</v>
      </c>
      <c r="F8" s="269"/>
      <c r="G8" s="269">
        <v>5.0</v>
      </c>
      <c r="H8" s="269">
        <v>17.0</v>
      </c>
      <c r="I8" s="269">
        <v>17.0</v>
      </c>
      <c r="J8" s="269">
        <v>17.0</v>
      </c>
      <c r="K8" s="269">
        <v>0.0</v>
      </c>
      <c r="L8" s="269">
        <v>18607.0</v>
      </c>
      <c r="M8" s="269">
        <v>38886.0</v>
      </c>
      <c r="N8" s="269">
        <v>308.0</v>
      </c>
      <c r="O8" s="269">
        <v>36.0</v>
      </c>
      <c r="P8" s="269">
        <v>1374.0</v>
      </c>
      <c r="Q8" s="270"/>
      <c r="R8" s="269">
        <v>0.0</v>
      </c>
      <c r="S8" s="270"/>
      <c r="T8" s="130">
        <f t="shared" si="5"/>
        <v>385</v>
      </c>
      <c r="U8" s="130">
        <f t="shared" si="6"/>
        <v>51</v>
      </c>
      <c r="V8" s="130">
        <f t="shared" si="7"/>
        <v>57493</v>
      </c>
      <c r="W8" s="130">
        <f t="shared" si="8"/>
        <v>1718</v>
      </c>
      <c r="X8" s="116">
        <f t="shared" si="9"/>
        <v>0.007817122367</v>
      </c>
      <c r="Y8" s="116">
        <f t="shared" si="10"/>
        <v>0.9921828776</v>
      </c>
      <c r="Z8" s="114">
        <f t="shared" si="1"/>
        <v>436</v>
      </c>
      <c r="AA8" s="114">
        <f t="shared" si="2"/>
        <v>55775</v>
      </c>
      <c r="AB8" s="115">
        <f t="shared" si="3"/>
        <v>0.007817122367</v>
      </c>
      <c r="AC8" s="115">
        <f t="shared" si="4"/>
        <v>0.9921828776</v>
      </c>
      <c r="AD8" s="116"/>
      <c r="AE8" s="116"/>
      <c r="AF8" s="117"/>
      <c r="AG8" s="118" t="s">
        <v>46</v>
      </c>
      <c r="AH8" s="119">
        <v>973.0</v>
      </c>
      <c r="AI8" s="119">
        <v>0.0</v>
      </c>
      <c r="AJ8" s="119">
        <v>713.0</v>
      </c>
      <c r="AK8" s="120">
        <v>0.0</v>
      </c>
      <c r="AL8" s="119">
        <v>5.0</v>
      </c>
      <c r="AM8" s="119">
        <v>19.0</v>
      </c>
      <c r="AN8" s="119">
        <v>3.0</v>
      </c>
      <c r="AO8" s="121">
        <v>22890.0</v>
      </c>
      <c r="AP8" s="131">
        <v>13043.0</v>
      </c>
      <c r="AQ8" s="119">
        <v>328.0</v>
      </c>
      <c r="AR8" s="119">
        <v>38.0</v>
      </c>
      <c r="AS8" s="119">
        <v>781.0</v>
      </c>
      <c r="AT8" s="119">
        <v>20.0</v>
      </c>
      <c r="AU8" s="119">
        <v>14.0</v>
      </c>
      <c r="AV8" s="119">
        <v>20.0</v>
      </c>
      <c r="AW8" s="120">
        <v>0.0</v>
      </c>
      <c r="AX8" s="120">
        <v>1599.0</v>
      </c>
      <c r="AY8" s="120">
        <v>98309.0</v>
      </c>
      <c r="AZ8" s="123">
        <v>0.016265041857815663</v>
      </c>
      <c r="BA8" s="123">
        <v>0.9837349581421844</v>
      </c>
      <c r="BB8" s="116"/>
      <c r="BC8" s="116"/>
      <c r="BD8" s="116"/>
      <c r="BE8" s="116"/>
      <c r="BF8" s="116"/>
      <c r="BG8" s="116"/>
      <c r="BH8" s="116"/>
      <c r="BI8" s="116"/>
    </row>
    <row r="9" ht="15.75" customHeight="1">
      <c r="A9" s="112"/>
      <c r="B9" s="38" t="s">
        <v>47</v>
      </c>
      <c r="C9" s="269">
        <v>0.0</v>
      </c>
      <c r="D9" s="269">
        <v>3.0</v>
      </c>
      <c r="E9" s="269">
        <v>0.0</v>
      </c>
      <c r="F9" s="269"/>
      <c r="G9" s="269">
        <v>40.0</v>
      </c>
      <c r="H9" s="269">
        <v>28.0</v>
      </c>
      <c r="I9" s="269">
        <v>0.0</v>
      </c>
      <c r="J9" s="269">
        <v>0.0</v>
      </c>
      <c r="K9" s="269">
        <v>0.0</v>
      </c>
      <c r="L9" s="269">
        <v>1588.0</v>
      </c>
      <c r="M9" s="269">
        <v>1472.0</v>
      </c>
      <c r="N9" s="269">
        <v>1.0</v>
      </c>
      <c r="O9" s="269">
        <v>20.0</v>
      </c>
      <c r="P9" s="269">
        <v>10.0</v>
      </c>
      <c r="Q9" s="270"/>
      <c r="R9" s="269">
        <v>0.0</v>
      </c>
      <c r="S9" s="270"/>
      <c r="T9" s="130">
        <f t="shared" si="5"/>
        <v>43</v>
      </c>
      <c r="U9" s="130">
        <f t="shared" si="6"/>
        <v>28</v>
      </c>
      <c r="V9" s="130">
        <f t="shared" si="7"/>
        <v>3060</v>
      </c>
      <c r="W9" s="130">
        <f t="shared" si="8"/>
        <v>31</v>
      </c>
      <c r="X9" s="116">
        <f t="shared" si="9"/>
        <v>0.02344007923</v>
      </c>
      <c r="Y9" s="116">
        <f t="shared" si="10"/>
        <v>0.9765599208</v>
      </c>
      <c r="Z9" s="114">
        <f t="shared" si="1"/>
        <v>71</v>
      </c>
      <c r="AA9" s="114">
        <f t="shared" si="2"/>
        <v>3029</v>
      </c>
      <c r="AB9" s="115">
        <f t="shared" si="3"/>
        <v>0.02344007923</v>
      </c>
      <c r="AC9" s="115">
        <f t="shared" si="4"/>
        <v>0.9765599208</v>
      </c>
      <c r="AD9" s="116"/>
      <c r="AE9" s="116"/>
      <c r="AF9" s="117"/>
      <c r="AG9" s="118" t="s">
        <v>47</v>
      </c>
      <c r="AH9" s="119">
        <v>17.0</v>
      </c>
      <c r="AI9" s="119">
        <v>2662.0</v>
      </c>
      <c r="AJ9" s="119">
        <v>915.0</v>
      </c>
      <c r="AK9" s="120">
        <v>6.0</v>
      </c>
      <c r="AL9" s="119">
        <v>29.0</v>
      </c>
      <c r="AM9" s="119">
        <v>66.0</v>
      </c>
      <c r="AN9" s="119">
        <v>4.0</v>
      </c>
      <c r="AO9" s="121">
        <v>21962.0</v>
      </c>
      <c r="AP9" s="131">
        <v>21937.0</v>
      </c>
      <c r="AQ9" s="119">
        <v>69.0</v>
      </c>
      <c r="AR9" s="119">
        <v>1064.0</v>
      </c>
      <c r="AS9" s="119">
        <v>33.0</v>
      </c>
      <c r="AT9" s="119">
        <v>44.0</v>
      </c>
      <c r="AU9" s="119">
        <v>0.0</v>
      </c>
      <c r="AV9" s="119">
        <v>44.0</v>
      </c>
      <c r="AW9" s="120">
        <v>2662.0</v>
      </c>
      <c r="AX9" s="120">
        <v>770.0</v>
      </c>
      <c r="AY9" s="120">
        <v>38579.0</v>
      </c>
      <c r="AZ9" s="123">
        <v>0.019959045076336866</v>
      </c>
      <c r="BA9" s="123">
        <v>0.9800409549236632</v>
      </c>
      <c r="BB9" s="116"/>
      <c r="BC9" s="116"/>
      <c r="BD9" s="116"/>
      <c r="BE9" s="116"/>
      <c r="BF9" s="116"/>
      <c r="BG9" s="116"/>
      <c r="BH9" s="116"/>
      <c r="BI9" s="116"/>
    </row>
    <row r="10" ht="15.75" customHeight="1">
      <c r="A10" s="112"/>
      <c r="B10" s="38" t="s">
        <v>48</v>
      </c>
      <c r="C10" s="269">
        <v>0.0</v>
      </c>
      <c r="D10" s="269">
        <v>3382.0</v>
      </c>
      <c r="E10" s="269">
        <v>0.0</v>
      </c>
      <c r="F10" s="269"/>
      <c r="G10" s="269">
        <v>1415.0</v>
      </c>
      <c r="H10" s="269">
        <v>92.0</v>
      </c>
      <c r="I10" s="269">
        <v>2.0</v>
      </c>
      <c r="J10" s="269">
        <v>2.0</v>
      </c>
      <c r="K10" s="269">
        <v>0.0</v>
      </c>
      <c r="L10" s="269">
        <v>47705.0</v>
      </c>
      <c r="M10" s="269">
        <v>32308.0</v>
      </c>
      <c r="N10" s="269">
        <v>35.0</v>
      </c>
      <c r="O10" s="269">
        <v>17.0</v>
      </c>
      <c r="P10" s="269">
        <v>4212.0</v>
      </c>
      <c r="Q10" s="270"/>
      <c r="R10" s="269">
        <v>0.0</v>
      </c>
      <c r="S10" s="270"/>
      <c r="T10" s="130">
        <f t="shared" si="5"/>
        <v>4797</v>
      </c>
      <c r="U10" s="130">
        <f t="shared" si="6"/>
        <v>96</v>
      </c>
      <c r="V10" s="130">
        <f t="shared" si="7"/>
        <v>80013</v>
      </c>
      <c r="W10" s="130">
        <f t="shared" si="8"/>
        <v>4264</v>
      </c>
      <c r="X10" s="116">
        <f t="shared" si="9"/>
        <v>0.06459491214</v>
      </c>
      <c r="Y10" s="116">
        <f t="shared" si="10"/>
        <v>0.9354050879</v>
      </c>
      <c r="Z10" s="114">
        <f t="shared" si="1"/>
        <v>4893</v>
      </c>
      <c r="AA10" s="114">
        <f t="shared" si="2"/>
        <v>75749</v>
      </c>
      <c r="AB10" s="115">
        <f t="shared" si="3"/>
        <v>0.06459491214</v>
      </c>
      <c r="AC10" s="115">
        <f t="shared" si="4"/>
        <v>0.9354050879</v>
      </c>
      <c r="AD10" s="116"/>
      <c r="AE10" s="116"/>
      <c r="AF10" s="117"/>
      <c r="AG10" s="118" t="s">
        <v>48</v>
      </c>
      <c r="AH10" s="119">
        <v>407.0</v>
      </c>
      <c r="AI10" s="119">
        <v>0.0</v>
      </c>
      <c r="AJ10" s="119">
        <v>4849.0</v>
      </c>
      <c r="AK10" s="120">
        <v>11.0</v>
      </c>
      <c r="AL10" s="119">
        <v>4.0</v>
      </c>
      <c r="AM10" s="119">
        <v>396.0</v>
      </c>
      <c r="AN10" s="119">
        <v>41.0</v>
      </c>
      <c r="AO10" s="121">
        <v>13273.0</v>
      </c>
      <c r="AP10" s="131">
        <v>3013.0</v>
      </c>
      <c r="AQ10" s="119">
        <v>0.0</v>
      </c>
      <c r="AR10" s="119">
        <v>21.0</v>
      </c>
      <c r="AS10" s="119">
        <v>3707.0</v>
      </c>
      <c r="AT10" s="119">
        <v>28.0</v>
      </c>
      <c r="AU10" s="119">
        <v>0.0</v>
      </c>
      <c r="AV10" s="119">
        <v>28.0</v>
      </c>
      <c r="AW10" s="120">
        <v>0.0</v>
      </c>
      <c r="AX10" s="120">
        <v>5333.0</v>
      </c>
      <c r="AY10" s="120">
        <v>238678.0</v>
      </c>
      <c r="AZ10" s="123">
        <v>0.022343911043330344</v>
      </c>
      <c r="BA10" s="123">
        <v>0.9776560889566697</v>
      </c>
      <c r="BB10" s="116"/>
      <c r="BC10" s="116"/>
      <c r="BD10" s="116"/>
      <c r="BE10" s="116"/>
      <c r="BF10" s="116"/>
      <c r="BG10" s="116"/>
      <c r="BH10" s="116"/>
      <c r="BI10" s="116"/>
    </row>
    <row r="11" ht="15.75" customHeight="1">
      <c r="A11" s="179"/>
      <c r="B11" s="38" t="s">
        <v>49</v>
      </c>
      <c r="C11" s="269">
        <v>957.0</v>
      </c>
      <c r="D11" s="269">
        <v>568.0</v>
      </c>
      <c r="E11" s="269">
        <v>35.0</v>
      </c>
      <c r="F11" s="269"/>
      <c r="G11" s="269">
        <v>60.0</v>
      </c>
      <c r="H11" s="269">
        <v>19.0</v>
      </c>
      <c r="I11" s="269">
        <v>0.0</v>
      </c>
      <c r="J11" s="269">
        <v>0.0</v>
      </c>
      <c r="K11" s="269">
        <v>0.0</v>
      </c>
      <c r="L11" s="269">
        <v>25740.0</v>
      </c>
      <c r="M11" s="269">
        <v>22047.0</v>
      </c>
      <c r="N11" s="269">
        <v>189.0</v>
      </c>
      <c r="O11" s="269">
        <v>736.0</v>
      </c>
      <c r="P11" s="269">
        <v>1137.0</v>
      </c>
      <c r="Q11" s="270"/>
      <c r="R11" s="269">
        <v>12.0</v>
      </c>
      <c r="S11" s="270"/>
      <c r="T11" s="130">
        <f t="shared" si="5"/>
        <v>1620</v>
      </c>
      <c r="U11" s="130">
        <f t="shared" si="6"/>
        <v>19</v>
      </c>
      <c r="V11" s="130">
        <f t="shared" si="7"/>
        <v>47787</v>
      </c>
      <c r="W11" s="130">
        <f t="shared" si="8"/>
        <v>2074</v>
      </c>
      <c r="X11" s="116">
        <f t="shared" si="9"/>
        <v>0.0358541334</v>
      </c>
      <c r="Y11" s="116">
        <f t="shared" si="10"/>
        <v>0.9641458666</v>
      </c>
      <c r="Z11" s="114">
        <f t="shared" si="1"/>
        <v>1639</v>
      </c>
      <c r="AA11" s="114">
        <f t="shared" si="2"/>
        <v>45713</v>
      </c>
      <c r="AB11" s="115">
        <f t="shared" si="3"/>
        <v>0.0358541334</v>
      </c>
      <c r="AC11" s="115">
        <f t="shared" si="4"/>
        <v>0.9641458666</v>
      </c>
      <c r="AD11" s="116"/>
      <c r="AE11" s="116"/>
      <c r="AF11" s="117"/>
      <c r="AG11" s="118" t="s">
        <v>49</v>
      </c>
      <c r="AH11" s="119">
        <v>169.0</v>
      </c>
      <c r="AI11" s="119">
        <v>0.0</v>
      </c>
      <c r="AJ11" s="119">
        <v>1147.0</v>
      </c>
      <c r="AK11" s="120">
        <v>134.0</v>
      </c>
      <c r="AL11" s="119">
        <v>135.0</v>
      </c>
      <c r="AM11" s="119">
        <v>302.0</v>
      </c>
      <c r="AN11" s="119">
        <v>8.0</v>
      </c>
      <c r="AO11" s="121">
        <v>73966.0</v>
      </c>
      <c r="AP11" s="131">
        <v>55569.0</v>
      </c>
      <c r="AQ11" s="119">
        <v>162.0</v>
      </c>
      <c r="AR11" s="119">
        <v>5002.0</v>
      </c>
      <c r="AS11" s="119">
        <v>3905.0</v>
      </c>
      <c r="AT11" s="119">
        <v>378.0</v>
      </c>
      <c r="AU11" s="119">
        <v>567.0</v>
      </c>
      <c r="AV11" s="119">
        <v>378.0</v>
      </c>
      <c r="AW11" s="120">
        <v>0.0</v>
      </c>
      <c r="AX11" s="120">
        <v>2057.0</v>
      </c>
      <c r="AY11" s="120">
        <v>48186.0</v>
      </c>
      <c r="AZ11" s="123">
        <v>0.04268874776906156</v>
      </c>
      <c r="BA11" s="123">
        <v>0.9573112522309385</v>
      </c>
      <c r="BB11" s="116"/>
      <c r="BC11" s="116"/>
      <c r="BD11" s="116"/>
      <c r="BE11" s="116"/>
      <c r="BF11" s="116"/>
      <c r="BG11" s="116"/>
      <c r="BH11" s="116"/>
      <c r="BI11" s="116"/>
    </row>
    <row r="12" ht="15.75" customHeight="1">
      <c r="A12" s="179"/>
      <c r="B12" s="38" t="s">
        <v>50</v>
      </c>
      <c r="C12" s="269">
        <v>715.0</v>
      </c>
      <c r="D12" s="269">
        <v>481.0</v>
      </c>
      <c r="E12" s="269">
        <v>0.0</v>
      </c>
      <c r="F12" s="269"/>
      <c r="G12" s="269">
        <v>15.0</v>
      </c>
      <c r="H12" s="269">
        <v>170.0</v>
      </c>
      <c r="I12" s="269">
        <v>7.0</v>
      </c>
      <c r="J12" s="269">
        <v>0.0</v>
      </c>
      <c r="K12" s="269">
        <v>0.0</v>
      </c>
      <c r="L12" s="269">
        <v>15886.0</v>
      </c>
      <c r="M12" s="269">
        <v>8239.0</v>
      </c>
      <c r="N12" s="269">
        <v>1162.0</v>
      </c>
      <c r="O12" s="269">
        <v>37.0</v>
      </c>
      <c r="P12" s="269">
        <v>5835.0</v>
      </c>
      <c r="Q12" s="270"/>
      <c r="R12" s="269">
        <v>0.0</v>
      </c>
      <c r="S12" s="270"/>
      <c r="T12" s="130">
        <f t="shared" si="5"/>
        <v>1211</v>
      </c>
      <c r="U12" s="130">
        <f t="shared" si="6"/>
        <v>177</v>
      </c>
      <c r="V12" s="130">
        <f t="shared" si="7"/>
        <v>24125</v>
      </c>
      <c r="W12" s="130">
        <f t="shared" si="8"/>
        <v>7034</v>
      </c>
      <c r="X12" s="116">
        <f t="shared" si="9"/>
        <v>0.08121233398</v>
      </c>
      <c r="Y12" s="116">
        <f t="shared" si="10"/>
        <v>0.918787666</v>
      </c>
      <c r="Z12" s="114">
        <f t="shared" si="1"/>
        <v>1388</v>
      </c>
      <c r="AA12" s="114">
        <f t="shared" si="2"/>
        <v>17091</v>
      </c>
      <c r="AB12" s="115">
        <f t="shared" si="3"/>
        <v>0.08121233398</v>
      </c>
      <c r="AC12" s="115">
        <f t="shared" si="4"/>
        <v>0.918787666</v>
      </c>
      <c r="AD12" s="116"/>
      <c r="AE12" s="116"/>
      <c r="AF12" s="117"/>
      <c r="AG12" s="118" t="s">
        <v>50</v>
      </c>
      <c r="AH12" s="119">
        <v>226.0</v>
      </c>
      <c r="AI12" s="119">
        <v>860.0</v>
      </c>
      <c r="AJ12" s="119">
        <v>514.0</v>
      </c>
      <c r="AK12" s="120">
        <v>31.0</v>
      </c>
      <c r="AL12" s="119">
        <v>3001.0</v>
      </c>
      <c r="AM12" s="119">
        <v>1982.0</v>
      </c>
      <c r="AN12" s="119">
        <v>559.0</v>
      </c>
      <c r="AO12" s="121">
        <v>242392.0</v>
      </c>
      <c r="AP12" s="131">
        <v>220608.0</v>
      </c>
      <c r="AQ12" s="119">
        <v>490.0</v>
      </c>
      <c r="AR12" s="119">
        <v>45067.0</v>
      </c>
      <c r="AS12" s="119">
        <v>6616.0</v>
      </c>
      <c r="AT12" s="119">
        <v>609.0</v>
      </c>
      <c r="AU12" s="119">
        <v>242.0</v>
      </c>
      <c r="AV12" s="119">
        <v>609.0</v>
      </c>
      <c r="AW12" s="120">
        <v>860.0</v>
      </c>
      <c r="AX12" s="135"/>
      <c r="AY12" s="135"/>
      <c r="AZ12" s="136"/>
      <c r="BA12" s="136"/>
      <c r="BB12" s="116"/>
      <c r="BC12" s="116"/>
      <c r="BD12" s="116"/>
      <c r="BE12" s="116"/>
      <c r="BF12" s="116"/>
      <c r="BG12" s="116"/>
      <c r="BH12" s="116"/>
      <c r="BI12" s="116"/>
    </row>
    <row r="13" ht="15.75" customHeight="1">
      <c r="A13" s="112"/>
      <c r="B13" s="38" t="s">
        <v>51</v>
      </c>
      <c r="C13" s="269">
        <v>456.0</v>
      </c>
      <c r="D13" s="269">
        <v>654.0</v>
      </c>
      <c r="E13" s="269">
        <v>457.0</v>
      </c>
      <c r="F13" s="269"/>
      <c r="G13" s="269"/>
      <c r="H13" s="269"/>
      <c r="I13" s="269"/>
      <c r="J13" s="269"/>
      <c r="K13" s="269"/>
      <c r="L13" s="269">
        <v>62105.0</v>
      </c>
      <c r="M13" s="269">
        <v>59711.0</v>
      </c>
      <c r="N13" s="269">
        <v>253.0</v>
      </c>
      <c r="O13" s="269">
        <v>42.0</v>
      </c>
      <c r="P13" s="269">
        <v>4094.0</v>
      </c>
      <c r="Q13" s="270"/>
      <c r="R13" s="269"/>
      <c r="S13" s="270"/>
      <c r="T13" s="130">
        <f t="shared" si="5"/>
        <v>1567</v>
      </c>
      <c r="U13" s="130">
        <f t="shared" si="6"/>
        <v>0</v>
      </c>
      <c r="V13" s="130">
        <f t="shared" si="7"/>
        <v>121816</v>
      </c>
      <c r="W13" s="130">
        <f t="shared" si="8"/>
        <v>4389</v>
      </c>
      <c r="X13" s="116">
        <f t="shared" si="9"/>
        <v>0.01334446081</v>
      </c>
      <c r="Y13" s="116">
        <f t="shared" si="10"/>
        <v>0.9866555392</v>
      </c>
      <c r="Z13" s="114">
        <f t="shared" si="1"/>
        <v>1567</v>
      </c>
      <c r="AA13" s="114">
        <f t="shared" si="2"/>
        <v>117427</v>
      </c>
      <c r="AB13" s="115">
        <f t="shared" si="3"/>
        <v>0.01334446081</v>
      </c>
      <c r="AC13" s="115">
        <f t="shared" si="4"/>
        <v>0.9866555392</v>
      </c>
      <c r="AD13" s="116"/>
      <c r="AE13" s="116"/>
      <c r="AF13" s="117"/>
      <c r="AG13" s="118" t="s">
        <v>51</v>
      </c>
      <c r="AH13" s="119">
        <v>0.0</v>
      </c>
      <c r="AI13" s="119">
        <v>0.0</v>
      </c>
      <c r="AJ13" s="119">
        <v>3351.0</v>
      </c>
      <c r="AK13" s="120">
        <v>35.0</v>
      </c>
      <c r="AL13" s="119">
        <v>582.0</v>
      </c>
      <c r="AM13" s="119">
        <v>259.0</v>
      </c>
      <c r="AN13" s="119">
        <v>6.0</v>
      </c>
      <c r="AO13" s="121">
        <v>59720.0</v>
      </c>
      <c r="AP13" s="131">
        <v>37363.0</v>
      </c>
      <c r="AQ13" s="119">
        <v>40.0</v>
      </c>
      <c r="AR13" s="119">
        <v>7.0</v>
      </c>
      <c r="AS13" s="119">
        <v>6388.0</v>
      </c>
      <c r="AT13" s="119">
        <v>978.0</v>
      </c>
      <c r="AU13" s="119">
        <v>27.0</v>
      </c>
      <c r="AV13" s="119">
        <v>978.0</v>
      </c>
      <c r="AW13" s="120">
        <v>0.0</v>
      </c>
      <c r="AX13" s="120">
        <v>2678.0</v>
      </c>
      <c r="AY13" s="120">
        <v>125683.0</v>
      </c>
      <c r="AZ13" s="123">
        <v>0.021307575407970847</v>
      </c>
      <c r="BA13" s="123">
        <v>0.9786924245920292</v>
      </c>
      <c r="BB13" s="116"/>
      <c r="BC13" s="116"/>
      <c r="BD13" s="116"/>
      <c r="BE13" s="116"/>
      <c r="BF13" s="116"/>
      <c r="BG13" s="116"/>
      <c r="BH13" s="116"/>
      <c r="BI13" s="116"/>
    </row>
    <row r="14" ht="15.75" customHeight="1">
      <c r="A14" s="112"/>
      <c r="B14" s="38" t="s">
        <v>52</v>
      </c>
      <c r="C14" s="269">
        <v>469.0</v>
      </c>
      <c r="D14" s="269">
        <v>285.0</v>
      </c>
      <c r="E14" s="269">
        <v>984.0</v>
      </c>
      <c r="F14" s="269"/>
      <c r="G14" s="269">
        <v>4656.0</v>
      </c>
      <c r="H14" s="269">
        <v>6471.0</v>
      </c>
      <c r="I14" s="269">
        <v>520.0</v>
      </c>
      <c r="J14" s="269">
        <v>176.0</v>
      </c>
      <c r="K14" s="269">
        <v>0.0</v>
      </c>
      <c r="L14" s="269">
        <v>198159.0</v>
      </c>
      <c r="M14" s="269">
        <v>164267.0</v>
      </c>
      <c r="N14" s="269">
        <v>1887.0</v>
      </c>
      <c r="O14" s="269">
        <v>24399.0</v>
      </c>
      <c r="P14" s="269">
        <v>6685.0</v>
      </c>
      <c r="Q14" s="270"/>
      <c r="R14" s="269">
        <v>2252.0</v>
      </c>
      <c r="S14" s="270"/>
      <c r="T14" s="130">
        <f t="shared" si="5"/>
        <v>6394</v>
      </c>
      <c r="U14" s="130">
        <f t="shared" si="6"/>
        <v>7167</v>
      </c>
      <c r="V14" s="130">
        <f t="shared" si="7"/>
        <v>362426</v>
      </c>
      <c r="W14" s="130">
        <f t="shared" si="8"/>
        <v>35223</v>
      </c>
      <c r="X14" s="116">
        <f t="shared" si="9"/>
        <v>0.04144521902</v>
      </c>
      <c r="Y14" s="116">
        <f t="shared" si="10"/>
        <v>0.958554781</v>
      </c>
      <c r="Z14" s="114">
        <f t="shared" si="1"/>
        <v>13561</v>
      </c>
      <c r="AA14" s="114">
        <f t="shared" si="2"/>
        <v>327203</v>
      </c>
      <c r="AB14" s="115">
        <f t="shared" si="3"/>
        <v>0.04144521902</v>
      </c>
      <c r="AC14" s="115">
        <f t="shared" si="4"/>
        <v>0.958554781</v>
      </c>
      <c r="AD14" s="116"/>
      <c r="AE14" s="116"/>
      <c r="AF14" s="117"/>
      <c r="AG14" s="118" t="s">
        <v>52</v>
      </c>
      <c r="AH14" s="119">
        <v>18.0</v>
      </c>
      <c r="AI14" s="119">
        <v>1183.0</v>
      </c>
      <c r="AJ14" s="119">
        <v>1326.0</v>
      </c>
      <c r="AK14" s="120">
        <v>0.0</v>
      </c>
      <c r="AL14" s="119">
        <v>15.0</v>
      </c>
      <c r="AM14" s="119">
        <v>132.0</v>
      </c>
      <c r="AN14" s="119">
        <v>36.0</v>
      </c>
      <c r="AO14" s="121">
        <v>31011.0</v>
      </c>
      <c r="AP14" s="131">
        <v>21424.0</v>
      </c>
      <c r="AQ14" s="119">
        <v>324.0</v>
      </c>
      <c r="AR14" s="119">
        <v>1543.0</v>
      </c>
      <c r="AS14" s="119">
        <v>604.0</v>
      </c>
      <c r="AT14" s="119">
        <v>115.0</v>
      </c>
      <c r="AU14" s="119">
        <v>23.0</v>
      </c>
      <c r="AV14" s="119">
        <v>115.0</v>
      </c>
      <c r="AW14" s="120">
        <v>1183.0</v>
      </c>
      <c r="AX14" s="120">
        <v>2470.0</v>
      </c>
      <c r="AY14" s="120">
        <v>425733.0</v>
      </c>
      <c r="AZ14" s="123">
        <v>0.005801758379077967</v>
      </c>
      <c r="BA14" s="123">
        <v>0.9941982416209221</v>
      </c>
      <c r="BB14" s="116"/>
      <c r="BC14" s="116"/>
      <c r="BD14" s="116"/>
      <c r="BE14" s="116"/>
      <c r="BF14" s="116"/>
      <c r="BG14" s="116"/>
      <c r="BH14" s="116"/>
      <c r="BI14" s="116"/>
    </row>
    <row r="15" ht="15.75" customHeight="1">
      <c r="A15" s="112"/>
      <c r="B15" s="38" t="s">
        <v>53</v>
      </c>
      <c r="C15" s="269">
        <v>0.0</v>
      </c>
      <c r="D15" s="269">
        <v>738.0</v>
      </c>
      <c r="E15" s="269">
        <v>26.0</v>
      </c>
      <c r="F15" s="269"/>
      <c r="G15" s="269">
        <v>287.0</v>
      </c>
      <c r="H15" s="269">
        <v>194.0</v>
      </c>
      <c r="I15" s="269">
        <v>3.0</v>
      </c>
      <c r="J15" s="269">
        <v>5.0</v>
      </c>
      <c r="K15" s="269">
        <v>0.0</v>
      </c>
      <c r="L15" s="269">
        <v>26271.0</v>
      </c>
      <c r="M15" s="269">
        <v>21440.0</v>
      </c>
      <c r="N15" s="269">
        <v>1.0</v>
      </c>
      <c r="O15" s="269">
        <v>211.0</v>
      </c>
      <c r="P15" s="269">
        <v>1106.0</v>
      </c>
      <c r="Q15" s="270"/>
      <c r="R15" s="269">
        <v>0.0</v>
      </c>
      <c r="S15" s="270"/>
      <c r="T15" s="130">
        <f t="shared" si="5"/>
        <v>1051</v>
      </c>
      <c r="U15" s="130">
        <f t="shared" si="6"/>
        <v>202</v>
      </c>
      <c r="V15" s="130">
        <f t="shared" si="7"/>
        <v>47711</v>
      </c>
      <c r="W15" s="130">
        <f t="shared" si="8"/>
        <v>1318</v>
      </c>
      <c r="X15" s="116">
        <f t="shared" si="9"/>
        <v>0.02700838489</v>
      </c>
      <c r="Y15" s="116">
        <f t="shared" si="10"/>
        <v>0.9729916151</v>
      </c>
      <c r="Z15" s="114">
        <f t="shared" si="1"/>
        <v>1253</v>
      </c>
      <c r="AA15" s="114">
        <f t="shared" si="2"/>
        <v>46393</v>
      </c>
      <c r="AB15" s="115">
        <f t="shared" si="3"/>
        <v>0.02700838489</v>
      </c>
      <c r="AC15" s="115">
        <f t="shared" si="4"/>
        <v>0.9729916151</v>
      </c>
      <c r="AD15" s="116"/>
      <c r="AE15" s="116"/>
      <c r="AF15" s="117"/>
      <c r="AG15" s="118" t="s">
        <v>53</v>
      </c>
      <c r="AH15" s="119">
        <v>0.0</v>
      </c>
      <c r="AI15" s="119">
        <v>2092.0</v>
      </c>
      <c r="AJ15" s="119">
        <v>647.0</v>
      </c>
      <c r="AK15" s="120">
        <v>167.0</v>
      </c>
      <c r="AL15" s="119">
        <v>172.0</v>
      </c>
      <c r="AM15" s="119">
        <v>162.0</v>
      </c>
      <c r="AN15" s="119">
        <v>17.0</v>
      </c>
      <c r="AO15" s="121">
        <v>22205.0</v>
      </c>
      <c r="AP15" s="131">
        <v>15763.0</v>
      </c>
      <c r="AQ15" s="119">
        <v>52.0</v>
      </c>
      <c r="AR15" s="119">
        <v>93.0</v>
      </c>
      <c r="AS15" s="119">
        <v>652.0</v>
      </c>
      <c r="AT15" s="119">
        <v>94.0</v>
      </c>
      <c r="AU15" s="119">
        <v>88.0</v>
      </c>
      <c r="AV15" s="119">
        <v>94.0</v>
      </c>
      <c r="AW15" s="120">
        <v>2092.0</v>
      </c>
      <c r="AX15" s="120">
        <v>1978.0</v>
      </c>
      <c r="AY15" s="120">
        <v>38295.0</v>
      </c>
      <c r="AZ15" s="123">
        <v>0.05165165165165165</v>
      </c>
      <c r="BA15" s="123">
        <v>0.9483483483483484</v>
      </c>
      <c r="BB15" s="116"/>
      <c r="BC15" s="116"/>
      <c r="BD15" s="116"/>
      <c r="BE15" s="116"/>
      <c r="BF15" s="116"/>
      <c r="BG15" s="116"/>
      <c r="BH15" s="116"/>
      <c r="BI15" s="116"/>
    </row>
    <row r="16" ht="15.75" customHeight="1">
      <c r="A16" s="112"/>
      <c r="B16" s="38" t="s">
        <v>54</v>
      </c>
      <c r="C16" s="269"/>
      <c r="D16" s="269"/>
      <c r="E16" s="269"/>
      <c r="F16" s="269"/>
      <c r="G16" s="269">
        <v>162.0</v>
      </c>
      <c r="H16" s="269">
        <v>571.0</v>
      </c>
      <c r="I16" s="269">
        <v>54.0</v>
      </c>
      <c r="J16" s="269">
        <v>8.0</v>
      </c>
      <c r="K16" s="269">
        <v>0.0</v>
      </c>
      <c r="L16" s="269">
        <v>118481.0</v>
      </c>
      <c r="M16" s="269">
        <v>71679.0</v>
      </c>
      <c r="N16" s="269">
        <v>521.0</v>
      </c>
      <c r="O16" s="269">
        <v>1334.0</v>
      </c>
      <c r="P16" s="269">
        <v>47133.0</v>
      </c>
      <c r="Q16" s="270"/>
      <c r="R16" s="269">
        <v>10.0</v>
      </c>
      <c r="S16" s="270"/>
      <c r="T16" s="130">
        <f t="shared" si="5"/>
        <v>162</v>
      </c>
      <c r="U16" s="130">
        <f t="shared" si="6"/>
        <v>633</v>
      </c>
      <c r="V16" s="130">
        <f t="shared" si="7"/>
        <v>190160</v>
      </c>
      <c r="W16" s="130">
        <f t="shared" si="8"/>
        <v>48998</v>
      </c>
      <c r="X16" s="116">
        <f t="shared" si="9"/>
        <v>0.005631827262</v>
      </c>
      <c r="Y16" s="116">
        <f t="shared" si="10"/>
        <v>0.9943681727</v>
      </c>
      <c r="Z16" s="114">
        <f t="shared" si="1"/>
        <v>795</v>
      </c>
      <c r="AA16" s="114">
        <f t="shared" si="2"/>
        <v>141162</v>
      </c>
      <c r="AB16" s="115">
        <f t="shared" si="3"/>
        <v>0.005631827262</v>
      </c>
      <c r="AC16" s="115">
        <f t="shared" si="4"/>
        <v>0.9943681727</v>
      </c>
      <c r="AD16" s="116"/>
      <c r="AE16" s="116"/>
      <c r="AF16" s="117"/>
      <c r="AG16" s="118" t="s">
        <v>54</v>
      </c>
      <c r="AH16" s="119">
        <v>10996.0</v>
      </c>
      <c r="AI16" s="119">
        <v>12.0</v>
      </c>
      <c r="AJ16" s="119">
        <v>2863.0</v>
      </c>
      <c r="AK16" s="120">
        <v>0.0</v>
      </c>
      <c r="AL16" s="119">
        <v>45.0</v>
      </c>
      <c r="AM16" s="119">
        <v>972.0</v>
      </c>
      <c r="AN16" s="119">
        <v>255.0</v>
      </c>
      <c r="AO16" s="121">
        <v>359304.0</v>
      </c>
      <c r="AP16" s="131">
        <v>78524.0</v>
      </c>
      <c r="AQ16" s="119">
        <v>10997.0</v>
      </c>
      <c r="AR16" s="119">
        <v>15631.0</v>
      </c>
      <c r="AS16" s="119">
        <v>21405.0</v>
      </c>
      <c r="AT16" s="119">
        <v>23.0</v>
      </c>
      <c r="AU16" s="119">
        <v>69.0</v>
      </c>
      <c r="AV16" s="119">
        <v>23.0</v>
      </c>
      <c r="AW16" s="120">
        <v>12.0</v>
      </c>
      <c r="AX16" s="120">
        <v>1558.0</v>
      </c>
      <c r="AY16" s="120">
        <v>139822.0</v>
      </c>
      <c r="AZ16" s="123">
        <v>0.01114273862482299</v>
      </c>
      <c r="BA16" s="123">
        <v>0.988857261375177</v>
      </c>
      <c r="BB16" s="116"/>
      <c r="BC16" s="116"/>
      <c r="BD16" s="116"/>
      <c r="BE16" s="116"/>
      <c r="BF16" s="116"/>
      <c r="BG16" s="116"/>
      <c r="BH16" s="116"/>
      <c r="BI16" s="116"/>
    </row>
    <row r="17" ht="15.75" customHeight="1">
      <c r="A17" s="112"/>
      <c r="B17" s="38" t="s">
        <v>55</v>
      </c>
      <c r="C17" s="269">
        <v>6.0</v>
      </c>
      <c r="D17" s="269">
        <v>869.0</v>
      </c>
      <c r="E17" s="269">
        <v>4.0</v>
      </c>
      <c r="F17" s="269"/>
      <c r="G17" s="269">
        <v>22.0</v>
      </c>
      <c r="H17" s="269">
        <v>16.0</v>
      </c>
      <c r="I17" s="269">
        <v>26.0</v>
      </c>
      <c r="J17" s="269">
        <v>6.0</v>
      </c>
      <c r="K17" s="269">
        <v>1.0</v>
      </c>
      <c r="L17" s="269">
        <v>22090.0</v>
      </c>
      <c r="M17" s="269">
        <v>60588.0</v>
      </c>
      <c r="N17" s="269">
        <v>712.0</v>
      </c>
      <c r="O17" s="269">
        <v>312.0</v>
      </c>
      <c r="P17" s="269">
        <v>14116.0</v>
      </c>
      <c r="Q17" s="270"/>
      <c r="R17" s="269">
        <v>1.0</v>
      </c>
      <c r="S17" s="270"/>
      <c r="T17" s="130">
        <f t="shared" si="5"/>
        <v>901</v>
      </c>
      <c r="U17" s="130">
        <f t="shared" si="6"/>
        <v>49</v>
      </c>
      <c r="V17" s="130">
        <f t="shared" si="7"/>
        <v>82678</v>
      </c>
      <c r="W17" s="130">
        <f t="shared" si="8"/>
        <v>15141</v>
      </c>
      <c r="X17" s="116">
        <f t="shared" si="9"/>
        <v>0.01406636362</v>
      </c>
      <c r="Y17" s="116">
        <f t="shared" si="10"/>
        <v>0.9859336364</v>
      </c>
      <c r="Z17" s="114">
        <f t="shared" si="1"/>
        <v>950</v>
      </c>
      <c r="AA17" s="114">
        <f t="shared" si="2"/>
        <v>67537</v>
      </c>
      <c r="AB17" s="115">
        <f t="shared" si="3"/>
        <v>0.01406636362</v>
      </c>
      <c r="AC17" s="115">
        <f t="shared" si="4"/>
        <v>0.9859336364</v>
      </c>
      <c r="AD17" s="116"/>
      <c r="AE17" s="116"/>
      <c r="AF17" s="117"/>
      <c r="AG17" s="118" t="s">
        <v>55</v>
      </c>
      <c r="AH17" s="119">
        <v>0.0</v>
      </c>
      <c r="AI17" s="119">
        <v>1.0</v>
      </c>
      <c r="AJ17" s="119">
        <v>15512.0</v>
      </c>
      <c r="AK17" s="120">
        <v>114.0</v>
      </c>
      <c r="AL17" s="119">
        <v>294.0</v>
      </c>
      <c r="AM17" s="119">
        <v>224.0</v>
      </c>
      <c r="AN17" s="119">
        <v>0.0</v>
      </c>
      <c r="AO17" s="121">
        <v>141751.0</v>
      </c>
      <c r="AP17" s="131">
        <v>22627.0</v>
      </c>
      <c r="AQ17" s="119">
        <v>4389.0</v>
      </c>
      <c r="AR17" s="119">
        <v>1343.0</v>
      </c>
      <c r="AS17" s="119">
        <v>62571.0</v>
      </c>
      <c r="AT17" s="119">
        <v>695.0</v>
      </c>
      <c r="AU17" s="119">
        <v>916.0</v>
      </c>
      <c r="AV17" s="119">
        <v>695.0</v>
      </c>
      <c r="AW17" s="120">
        <v>1.0</v>
      </c>
      <c r="AX17" s="120">
        <v>1659.0</v>
      </c>
      <c r="AY17" s="120">
        <v>136203.0</v>
      </c>
      <c r="AZ17" s="123">
        <v>0.01218034845047466</v>
      </c>
      <c r="BA17" s="123">
        <v>0.9878196515495253</v>
      </c>
      <c r="BB17" s="116"/>
      <c r="BC17" s="116"/>
      <c r="BD17" s="116"/>
      <c r="BE17" s="116"/>
      <c r="BF17" s="116"/>
      <c r="BG17" s="116"/>
      <c r="BH17" s="116"/>
      <c r="BI17" s="116"/>
    </row>
    <row r="18" ht="15.75" customHeight="1">
      <c r="A18" s="112"/>
      <c r="B18" s="38" t="s">
        <v>56</v>
      </c>
      <c r="C18" s="269">
        <v>80.0</v>
      </c>
      <c r="D18" s="269">
        <v>239.0</v>
      </c>
      <c r="E18" s="269">
        <v>154.0</v>
      </c>
      <c r="F18" s="269"/>
      <c r="G18" s="269">
        <v>491.0</v>
      </c>
      <c r="H18" s="269">
        <v>115.0</v>
      </c>
      <c r="I18" s="269">
        <v>84.0</v>
      </c>
      <c r="J18" s="269">
        <v>41.0</v>
      </c>
      <c r="K18" s="269">
        <v>0.0</v>
      </c>
      <c r="L18" s="269">
        <v>36802.0</v>
      </c>
      <c r="M18" s="269">
        <v>87467.0</v>
      </c>
      <c r="N18" s="269">
        <v>9.0</v>
      </c>
      <c r="O18" s="269">
        <v>537.0</v>
      </c>
      <c r="P18" s="269">
        <v>911.0</v>
      </c>
      <c r="Q18" s="270"/>
      <c r="R18" s="269">
        <v>1401.0</v>
      </c>
      <c r="S18" s="270"/>
      <c r="T18" s="130">
        <f t="shared" si="5"/>
        <v>964</v>
      </c>
      <c r="U18" s="130">
        <f t="shared" si="6"/>
        <v>240</v>
      </c>
      <c r="V18" s="130">
        <f t="shared" si="7"/>
        <v>124269</v>
      </c>
      <c r="W18" s="130">
        <f t="shared" si="8"/>
        <v>2858</v>
      </c>
      <c r="X18" s="116">
        <f t="shared" si="9"/>
        <v>0.009916729127</v>
      </c>
      <c r="Y18" s="116">
        <f t="shared" si="10"/>
        <v>0.9900832709</v>
      </c>
      <c r="Z18" s="114">
        <f t="shared" si="1"/>
        <v>1204</v>
      </c>
      <c r="AA18" s="114">
        <f t="shared" si="2"/>
        <v>121411</v>
      </c>
      <c r="AB18" s="115">
        <f t="shared" si="3"/>
        <v>0.009916729127</v>
      </c>
      <c r="AC18" s="115">
        <f t="shared" si="4"/>
        <v>0.9900832709</v>
      </c>
      <c r="AD18" s="116"/>
      <c r="AE18" s="116"/>
      <c r="AF18" s="117"/>
      <c r="AG18" s="118" t="s">
        <v>56</v>
      </c>
      <c r="AH18" s="119">
        <v>3.0</v>
      </c>
      <c r="AI18" s="119">
        <v>0.0</v>
      </c>
      <c r="AJ18" s="119">
        <v>669.0</v>
      </c>
      <c r="AK18" s="120">
        <v>9.0</v>
      </c>
      <c r="AL18" s="119">
        <v>4.0</v>
      </c>
      <c r="AM18" s="119">
        <v>53.0</v>
      </c>
      <c r="AN18" s="119">
        <v>3.0</v>
      </c>
      <c r="AO18" s="121">
        <v>26178.0</v>
      </c>
      <c r="AP18" s="131">
        <v>23204.0</v>
      </c>
      <c r="AQ18" s="119">
        <v>11.0</v>
      </c>
      <c r="AR18" s="119">
        <v>54.0</v>
      </c>
      <c r="AS18" s="119">
        <v>640.0</v>
      </c>
      <c r="AT18" s="119">
        <v>6.0</v>
      </c>
      <c r="AU18" s="119">
        <v>31.0</v>
      </c>
      <c r="AV18" s="119">
        <v>6.0</v>
      </c>
      <c r="AW18" s="120">
        <v>0.0</v>
      </c>
      <c r="AX18" s="120">
        <v>2358.0</v>
      </c>
      <c r="AY18" s="120">
        <v>225979.0</v>
      </c>
      <c r="AZ18" s="123">
        <v>0.010434597905115077</v>
      </c>
      <c r="BA18" s="123">
        <v>0.989565402094885</v>
      </c>
      <c r="BB18" s="116"/>
      <c r="BC18" s="116"/>
      <c r="BD18" s="116"/>
      <c r="BE18" s="116"/>
      <c r="BF18" s="116"/>
      <c r="BG18" s="116"/>
      <c r="BH18" s="116"/>
      <c r="BI18" s="116"/>
    </row>
    <row r="19" ht="15.75" customHeight="1">
      <c r="A19" s="112"/>
      <c r="B19" s="38" t="s">
        <v>57</v>
      </c>
      <c r="C19" s="269">
        <v>93.0</v>
      </c>
      <c r="D19" s="269">
        <v>2831.0</v>
      </c>
      <c r="E19" s="269">
        <v>32.0</v>
      </c>
      <c r="F19" s="269"/>
      <c r="G19" s="269">
        <v>61.0</v>
      </c>
      <c r="H19" s="269">
        <v>10.0</v>
      </c>
      <c r="I19" s="269">
        <v>13.0</v>
      </c>
      <c r="J19" s="269">
        <v>4.0</v>
      </c>
      <c r="K19" s="269">
        <v>0.0</v>
      </c>
      <c r="L19" s="269">
        <v>117521.0</v>
      </c>
      <c r="M19" s="269">
        <v>166749.0</v>
      </c>
      <c r="N19" s="269">
        <v>2569.0</v>
      </c>
      <c r="O19" s="269">
        <v>387.0</v>
      </c>
      <c r="P19" s="269">
        <v>153.0</v>
      </c>
      <c r="Q19" s="270"/>
      <c r="R19" s="269">
        <v>4.0</v>
      </c>
      <c r="S19" s="270"/>
      <c r="T19" s="130">
        <f t="shared" si="5"/>
        <v>3017</v>
      </c>
      <c r="U19" s="130">
        <f t="shared" si="6"/>
        <v>27</v>
      </c>
      <c r="V19" s="130">
        <f t="shared" si="7"/>
        <v>284270</v>
      </c>
      <c r="W19" s="130">
        <f t="shared" si="8"/>
        <v>3113</v>
      </c>
      <c r="X19" s="116">
        <f t="shared" si="9"/>
        <v>0.01082669114</v>
      </c>
      <c r="Y19" s="116">
        <f t="shared" si="10"/>
        <v>0.9891733089</v>
      </c>
      <c r="Z19" s="114">
        <f t="shared" si="1"/>
        <v>3044</v>
      </c>
      <c r="AA19" s="114">
        <f t="shared" si="2"/>
        <v>281157</v>
      </c>
      <c r="AB19" s="115">
        <f t="shared" si="3"/>
        <v>0.01082669114</v>
      </c>
      <c r="AC19" s="115">
        <f t="shared" si="4"/>
        <v>0.9891733089</v>
      </c>
      <c r="AD19" s="116"/>
      <c r="AE19" s="116"/>
      <c r="AF19" s="117"/>
      <c r="AG19" s="118" t="s">
        <v>57</v>
      </c>
      <c r="AH19" s="119">
        <v>0.0</v>
      </c>
      <c r="AI19" s="119">
        <v>7.0</v>
      </c>
      <c r="AJ19" s="119">
        <v>2425.0</v>
      </c>
      <c r="AK19" s="120">
        <v>0.0</v>
      </c>
      <c r="AL19" s="119">
        <v>2.0</v>
      </c>
      <c r="AM19" s="119">
        <v>1.0</v>
      </c>
      <c r="AN19" s="119">
        <v>0.0</v>
      </c>
      <c r="AO19" s="121">
        <v>54496.0</v>
      </c>
      <c r="AP19" s="131">
        <v>27514.0</v>
      </c>
      <c r="AQ19" s="119">
        <v>8.0</v>
      </c>
      <c r="AR19" s="119">
        <v>239.0</v>
      </c>
      <c r="AS19" s="119">
        <v>267.0</v>
      </c>
      <c r="AT19" s="119">
        <v>3.0</v>
      </c>
      <c r="AU19" s="119">
        <v>37.0</v>
      </c>
      <c r="AV19" s="119">
        <v>3.0</v>
      </c>
      <c r="AW19" s="120">
        <v>7.0</v>
      </c>
      <c r="AX19" s="120">
        <v>5136.0</v>
      </c>
      <c r="AY19" s="120">
        <v>608626.0</v>
      </c>
      <c r="AZ19" s="123">
        <v>0.008438679911801337</v>
      </c>
      <c r="BA19" s="123">
        <v>0.9915613200881986</v>
      </c>
      <c r="BB19" s="116"/>
      <c r="BC19" s="116"/>
      <c r="BD19" s="116"/>
      <c r="BE19" s="116"/>
      <c r="BF19" s="116"/>
      <c r="BG19" s="116"/>
      <c r="BH19" s="116"/>
      <c r="BI19" s="116"/>
    </row>
    <row r="20" ht="15.75" customHeight="1">
      <c r="A20" s="179"/>
      <c r="B20" s="38" t="s">
        <v>58</v>
      </c>
      <c r="C20" s="269">
        <v>2773.0</v>
      </c>
      <c r="D20" s="269">
        <v>5677.0</v>
      </c>
      <c r="E20" s="269">
        <v>6.0</v>
      </c>
      <c r="F20" s="269"/>
      <c r="G20" s="269">
        <v>0.0</v>
      </c>
      <c r="H20" s="269">
        <v>2470.0</v>
      </c>
      <c r="I20" s="269">
        <v>1943.0</v>
      </c>
      <c r="J20" s="269">
        <v>31.0</v>
      </c>
      <c r="K20" s="269">
        <v>39.0</v>
      </c>
      <c r="L20" s="269">
        <v>341277.0</v>
      </c>
      <c r="M20" s="269">
        <v>173585.0</v>
      </c>
      <c r="N20" s="269">
        <v>2328.0</v>
      </c>
      <c r="O20" s="269">
        <v>15609.0</v>
      </c>
      <c r="P20" s="269">
        <v>4108.0</v>
      </c>
      <c r="Q20" s="270"/>
      <c r="R20" s="269">
        <v>309.0</v>
      </c>
      <c r="S20" s="270"/>
      <c r="T20" s="130">
        <f t="shared" si="5"/>
        <v>8456</v>
      </c>
      <c r="U20" s="130">
        <f t="shared" si="6"/>
        <v>4483</v>
      </c>
      <c r="V20" s="130">
        <f t="shared" si="7"/>
        <v>514862</v>
      </c>
      <c r="W20" s="130">
        <f t="shared" si="8"/>
        <v>22354</v>
      </c>
      <c r="X20" s="116">
        <f t="shared" si="9"/>
        <v>0.02627165447</v>
      </c>
      <c r="Y20" s="116">
        <f t="shared" si="10"/>
        <v>0.9737283455</v>
      </c>
      <c r="Z20" s="114">
        <f t="shared" si="1"/>
        <v>12939</v>
      </c>
      <c r="AA20" s="114">
        <f t="shared" si="2"/>
        <v>492508</v>
      </c>
      <c r="AB20" s="115">
        <f t="shared" si="3"/>
        <v>0.02627165447</v>
      </c>
      <c r="AC20" s="115">
        <f t="shared" si="4"/>
        <v>0.9737283455</v>
      </c>
      <c r="AD20" s="116"/>
      <c r="AE20" s="116"/>
      <c r="AF20" s="117"/>
      <c r="AG20" s="118" t="s">
        <v>58</v>
      </c>
      <c r="AH20" s="119">
        <v>0.0</v>
      </c>
      <c r="AI20" s="119">
        <v>982.0</v>
      </c>
      <c r="AJ20" s="119">
        <v>6525.0</v>
      </c>
      <c r="AK20" s="120">
        <v>197.0</v>
      </c>
      <c r="AL20" s="119">
        <v>1733.0</v>
      </c>
      <c r="AM20" s="119">
        <v>937.0</v>
      </c>
      <c r="AN20" s="119">
        <v>207.0</v>
      </c>
      <c r="AO20" s="121">
        <v>131694.0</v>
      </c>
      <c r="AP20" s="131">
        <v>27514.0</v>
      </c>
      <c r="AQ20" s="119">
        <v>1930.0</v>
      </c>
      <c r="AR20" s="119">
        <v>2.0</v>
      </c>
      <c r="AS20" s="119">
        <v>44.0</v>
      </c>
      <c r="AT20" s="119">
        <v>161.0</v>
      </c>
      <c r="AU20" s="119">
        <v>582.0</v>
      </c>
      <c r="AV20" s="119">
        <v>161.0</v>
      </c>
      <c r="AW20" s="120">
        <v>982.0</v>
      </c>
      <c r="AX20" s="120">
        <v>52872.0</v>
      </c>
      <c r="AY20" s="120">
        <v>512876.0</v>
      </c>
      <c r="AZ20" s="123">
        <v>0.10308924574361054</v>
      </c>
      <c r="BA20" s="123">
        <v>0.8969107542563894</v>
      </c>
      <c r="BB20" s="116"/>
      <c r="BC20" s="116"/>
      <c r="BD20" s="116"/>
      <c r="BE20" s="116"/>
      <c r="BF20" s="116"/>
      <c r="BG20" s="116"/>
      <c r="BH20" s="116"/>
      <c r="BI20" s="116"/>
    </row>
    <row r="21" ht="15.75" customHeight="1">
      <c r="A21" s="179"/>
      <c r="B21" s="38" t="s">
        <v>59</v>
      </c>
      <c r="C21" s="269">
        <v>5.0</v>
      </c>
      <c r="D21" s="269">
        <v>5178.0</v>
      </c>
      <c r="E21" s="269">
        <v>0.0</v>
      </c>
      <c r="F21" s="269"/>
      <c r="G21" s="269">
        <v>290.0</v>
      </c>
      <c r="H21" s="269">
        <v>0.0</v>
      </c>
      <c r="I21" s="269">
        <v>0.0</v>
      </c>
      <c r="J21" s="269">
        <v>0.0</v>
      </c>
      <c r="K21" s="269">
        <v>0.0</v>
      </c>
      <c r="L21" s="269">
        <v>44904.0</v>
      </c>
      <c r="M21" s="269">
        <v>20380.0</v>
      </c>
      <c r="N21" s="269">
        <v>758.0</v>
      </c>
      <c r="O21" s="269">
        <v>1007.0</v>
      </c>
      <c r="P21" s="269">
        <v>3638.0</v>
      </c>
      <c r="Q21" s="270"/>
      <c r="R21" s="269">
        <v>0.0</v>
      </c>
      <c r="S21" s="270"/>
      <c r="T21" s="130">
        <f t="shared" si="5"/>
        <v>5473</v>
      </c>
      <c r="U21" s="130">
        <f t="shared" si="6"/>
        <v>0</v>
      </c>
      <c r="V21" s="130">
        <f t="shared" si="7"/>
        <v>65284</v>
      </c>
      <c r="W21" s="130">
        <f t="shared" si="8"/>
        <v>5403</v>
      </c>
      <c r="X21" s="116">
        <f t="shared" si="9"/>
        <v>0.09139793925</v>
      </c>
      <c r="Y21" s="116">
        <f t="shared" si="10"/>
        <v>0.9086020608</v>
      </c>
      <c r="Z21" s="114">
        <f t="shared" si="1"/>
        <v>5473</v>
      </c>
      <c r="AA21" s="114">
        <f t="shared" si="2"/>
        <v>59881</v>
      </c>
      <c r="AB21" s="115">
        <f t="shared" si="3"/>
        <v>0.09139793925</v>
      </c>
      <c r="AC21" s="115">
        <f t="shared" si="4"/>
        <v>0.9086020608</v>
      </c>
      <c r="AD21" s="116"/>
      <c r="AE21" s="116"/>
      <c r="AF21" s="117"/>
      <c r="AG21" s="118" t="s">
        <v>59</v>
      </c>
      <c r="AH21" s="119">
        <v>0.0</v>
      </c>
      <c r="AI21" s="119">
        <v>59.0</v>
      </c>
      <c r="AJ21" s="119">
        <v>4654.0</v>
      </c>
      <c r="AK21" s="120">
        <v>26.0</v>
      </c>
      <c r="AL21" s="119">
        <v>3.0</v>
      </c>
      <c r="AM21" s="119">
        <v>24.0</v>
      </c>
      <c r="AN21" s="119">
        <v>2.0</v>
      </c>
      <c r="AO21" s="121">
        <v>48858.0</v>
      </c>
      <c r="AP21" s="131">
        <v>32935.0</v>
      </c>
      <c r="AQ21" s="119">
        <v>456.0</v>
      </c>
      <c r="AR21" s="119">
        <v>1186.0</v>
      </c>
      <c r="AS21" s="119">
        <v>2559.0</v>
      </c>
      <c r="AT21" s="119">
        <v>22.0</v>
      </c>
      <c r="AU21" s="119">
        <v>36.0</v>
      </c>
      <c r="AV21" s="119">
        <v>22.0</v>
      </c>
      <c r="AW21" s="120">
        <v>59.0</v>
      </c>
      <c r="AX21" s="135"/>
      <c r="AY21" s="135"/>
      <c r="AZ21" s="136"/>
      <c r="BA21" s="136"/>
      <c r="BB21" s="116"/>
      <c r="BC21" s="116"/>
      <c r="BD21" s="116"/>
      <c r="BE21" s="116"/>
      <c r="BF21" s="116"/>
      <c r="BG21" s="116"/>
      <c r="BH21" s="116"/>
      <c r="BI21" s="116"/>
    </row>
    <row r="22" ht="15.75" customHeight="1">
      <c r="A22" s="179"/>
      <c r="B22" s="38" t="s">
        <v>60</v>
      </c>
      <c r="C22" s="269">
        <v>250.0</v>
      </c>
      <c r="D22" s="269">
        <v>2081.0</v>
      </c>
      <c r="E22" s="269">
        <v>32.0</v>
      </c>
      <c r="F22" s="269"/>
      <c r="G22" s="269">
        <v>176.0</v>
      </c>
      <c r="H22" s="269">
        <v>16.0</v>
      </c>
      <c r="I22" s="269">
        <v>31.0</v>
      </c>
      <c r="J22" s="269">
        <v>51.0</v>
      </c>
      <c r="K22" s="269">
        <v>1.0</v>
      </c>
      <c r="L22" s="269">
        <v>41494.0</v>
      </c>
      <c r="M22" s="269">
        <v>29665.0</v>
      </c>
      <c r="N22" s="269">
        <v>136.0</v>
      </c>
      <c r="O22" s="269">
        <v>1094.0</v>
      </c>
      <c r="P22" s="269">
        <v>3243.0</v>
      </c>
      <c r="Q22" s="270"/>
      <c r="R22" s="269">
        <v>2.0</v>
      </c>
      <c r="S22" s="270"/>
      <c r="T22" s="130">
        <f t="shared" si="5"/>
        <v>2539</v>
      </c>
      <c r="U22" s="130">
        <f t="shared" si="6"/>
        <v>99</v>
      </c>
      <c r="V22" s="130">
        <f t="shared" si="7"/>
        <v>71159</v>
      </c>
      <c r="W22" s="130">
        <f t="shared" si="8"/>
        <v>4475</v>
      </c>
      <c r="X22" s="116">
        <f t="shared" si="9"/>
        <v>0.03955971447</v>
      </c>
      <c r="Y22" s="116">
        <f t="shared" si="10"/>
        <v>0.9604402855</v>
      </c>
      <c r="Z22" s="114">
        <f t="shared" si="1"/>
        <v>2638</v>
      </c>
      <c r="AA22" s="114">
        <f t="shared" si="2"/>
        <v>66684</v>
      </c>
      <c r="AB22" s="115">
        <f t="shared" si="3"/>
        <v>0.03955971447</v>
      </c>
      <c r="AC22" s="115">
        <f t="shared" si="4"/>
        <v>0.9604402855</v>
      </c>
      <c r="AD22" s="116"/>
      <c r="AE22" s="116"/>
      <c r="AF22" s="117"/>
      <c r="AG22" s="118" t="s">
        <v>60</v>
      </c>
      <c r="AH22" s="119">
        <v>0.0</v>
      </c>
      <c r="AI22" s="119">
        <v>715.0</v>
      </c>
      <c r="AJ22" s="119">
        <v>818.0</v>
      </c>
      <c r="AK22" s="120">
        <v>1.0</v>
      </c>
      <c r="AL22" s="119">
        <v>56.0</v>
      </c>
      <c r="AM22" s="119">
        <v>114.0</v>
      </c>
      <c r="AN22" s="119">
        <v>191.0</v>
      </c>
      <c r="AO22" s="121">
        <v>46258.0</v>
      </c>
      <c r="AP22" s="131">
        <v>37050.0</v>
      </c>
      <c r="AQ22" s="119">
        <v>297.0</v>
      </c>
      <c r="AR22" s="119">
        <v>960.0</v>
      </c>
      <c r="AS22" s="119">
        <v>1229.0</v>
      </c>
      <c r="AT22" s="119">
        <v>11.0</v>
      </c>
      <c r="AU22" s="119">
        <v>18.0</v>
      </c>
      <c r="AV22" s="119">
        <v>11.0</v>
      </c>
      <c r="AW22" s="120">
        <v>715.0</v>
      </c>
      <c r="AX22" s="120">
        <v>1688.0</v>
      </c>
      <c r="AY22" s="120">
        <v>79016.0</v>
      </c>
      <c r="AZ22" s="123">
        <v>0.02136276197225878</v>
      </c>
      <c r="BA22" s="123">
        <v>0.9786372380277413</v>
      </c>
      <c r="BB22" s="116"/>
      <c r="BC22" s="116"/>
      <c r="BD22" s="116"/>
      <c r="BE22" s="116"/>
      <c r="BF22" s="116"/>
      <c r="BG22" s="116"/>
      <c r="BH22" s="116"/>
      <c r="BI22" s="116"/>
    </row>
    <row r="23" ht="15.75" customHeight="1">
      <c r="A23" s="112"/>
      <c r="B23" s="38" t="s">
        <v>61</v>
      </c>
      <c r="C23" s="269">
        <v>0.0</v>
      </c>
      <c r="D23" s="269">
        <v>209.0</v>
      </c>
      <c r="E23" s="269">
        <v>0.0</v>
      </c>
      <c r="F23" s="269"/>
      <c r="G23" s="269">
        <v>0.0</v>
      </c>
      <c r="H23" s="269">
        <v>0.0</v>
      </c>
      <c r="I23" s="269">
        <v>0.0</v>
      </c>
      <c r="J23" s="269">
        <v>0.0</v>
      </c>
      <c r="K23" s="269">
        <v>0.0</v>
      </c>
      <c r="L23" s="269">
        <v>4192.0</v>
      </c>
      <c r="M23" s="269">
        <v>2075.0</v>
      </c>
      <c r="N23" s="269">
        <v>0.0</v>
      </c>
      <c r="O23" s="269">
        <v>0.0</v>
      </c>
      <c r="P23" s="269">
        <v>250.0</v>
      </c>
      <c r="Q23" s="270"/>
      <c r="R23" s="269">
        <v>0.0</v>
      </c>
      <c r="S23" s="270"/>
      <c r="T23" s="130">
        <f t="shared" si="5"/>
        <v>209</v>
      </c>
      <c r="U23" s="130">
        <f t="shared" si="6"/>
        <v>0</v>
      </c>
      <c r="V23" s="130">
        <f t="shared" si="7"/>
        <v>6267</v>
      </c>
      <c r="W23" s="130">
        <f t="shared" si="8"/>
        <v>250</v>
      </c>
      <c r="X23" s="116">
        <f t="shared" si="9"/>
        <v>0.03473491773</v>
      </c>
      <c r="Y23" s="116">
        <f t="shared" si="10"/>
        <v>0.9652650823</v>
      </c>
      <c r="Z23" s="114">
        <f t="shared" si="1"/>
        <v>209</v>
      </c>
      <c r="AA23" s="114">
        <f t="shared" si="2"/>
        <v>6017</v>
      </c>
      <c r="AB23" s="115">
        <f t="shared" si="3"/>
        <v>0.03473491773</v>
      </c>
      <c r="AC23" s="115">
        <f t="shared" si="4"/>
        <v>0.9652650823</v>
      </c>
      <c r="AD23" s="116"/>
      <c r="AE23" s="116"/>
      <c r="AF23" s="117"/>
      <c r="AG23" s="140" t="s">
        <v>61</v>
      </c>
      <c r="AH23" s="141"/>
      <c r="AI23" s="142">
        <v>0.0</v>
      </c>
      <c r="AJ23" s="141"/>
      <c r="AK23" s="141"/>
      <c r="AL23" s="142">
        <v>0.0</v>
      </c>
      <c r="AM23" s="142">
        <v>0.0</v>
      </c>
      <c r="AN23" s="142">
        <v>0.0</v>
      </c>
      <c r="AO23" s="143">
        <v>0.0</v>
      </c>
      <c r="AP23" s="144">
        <v>5333.0</v>
      </c>
      <c r="AQ23" s="142">
        <v>0.0</v>
      </c>
      <c r="AR23" s="142">
        <v>0.0</v>
      </c>
      <c r="AS23" s="142">
        <v>0.0</v>
      </c>
      <c r="AT23" s="141"/>
      <c r="AU23" s="142">
        <v>0.0</v>
      </c>
      <c r="AV23" s="142">
        <v>0.0</v>
      </c>
      <c r="AW23" s="141"/>
      <c r="AX23" s="120">
        <v>439.0</v>
      </c>
      <c r="AY23" s="120">
        <v>24969.0</v>
      </c>
      <c r="AZ23" s="117">
        <v>0.017581801433777886</v>
      </c>
      <c r="BA23" s="123">
        <v>0.9824181985662221</v>
      </c>
      <c r="BB23" s="116"/>
      <c r="BC23" s="116"/>
      <c r="BD23" s="116"/>
      <c r="BE23" s="116"/>
      <c r="BF23" s="116"/>
      <c r="BG23" s="116"/>
      <c r="BH23" s="116"/>
      <c r="BI23" s="116"/>
    </row>
    <row r="24" ht="15.75" customHeight="1">
      <c r="A24" s="112"/>
      <c r="B24" s="38" t="s">
        <v>62</v>
      </c>
      <c r="C24" s="269">
        <v>175.0</v>
      </c>
      <c r="D24" s="269">
        <v>1147.0</v>
      </c>
      <c r="E24" s="269">
        <v>175.0</v>
      </c>
      <c r="F24" s="269"/>
      <c r="G24" s="269">
        <v>0.0</v>
      </c>
      <c r="H24" s="269">
        <v>0.0</v>
      </c>
      <c r="I24" s="269">
        <v>913.0</v>
      </c>
      <c r="J24" s="269">
        <v>338.0</v>
      </c>
      <c r="K24" s="269">
        <v>0.0</v>
      </c>
      <c r="L24" s="269">
        <v>76155.0</v>
      </c>
      <c r="M24" s="269">
        <v>111746.0</v>
      </c>
      <c r="N24" s="269">
        <v>302.0</v>
      </c>
      <c r="O24" s="269">
        <v>3169.0</v>
      </c>
      <c r="P24" s="269">
        <v>2077.0</v>
      </c>
      <c r="Q24" s="270"/>
      <c r="R24" s="269">
        <v>3169.0</v>
      </c>
      <c r="S24" s="270"/>
      <c r="T24" s="130">
        <f t="shared" si="5"/>
        <v>1497</v>
      </c>
      <c r="U24" s="130">
        <f t="shared" si="6"/>
        <v>1251</v>
      </c>
      <c r="V24" s="130">
        <f t="shared" si="7"/>
        <v>187901</v>
      </c>
      <c r="W24" s="130">
        <f t="shared" si="8"/>
        <v>8717</v>
      </c>
      <c r="X24" s="116">
        <f t="shared" si="9"/>
        <v>0.01533619073</v>
      </c>
      <c r="Y24" s="116">
        <f t="shared" si="10"/>
        <v>0.9846638093</v>
      </c>
      <c r="Z24" s="114">
        <f t="shared" si="1"/>
        <v>2748</v>
      </c>
      <c r="AA24" s="114">
        <f t="shared" si="2"/>
        <v>179184</v>
      </c>
      <c r="AB24" s="115">
        <f t="shared" si="3"/>
        <v>0.01533619073</v>
      </c>
      <c r="AC24" s="115">
        <f t="shared" si="4"/>
        <v>0.9846638093</v>
      </c>
      <c r="AD24" s="116"/>
      <c r="AE24" s="116"/>
      <c r="AF24" s="117"/>
      <c r="AG24" s="118" t="s">
        <v>62</v>
      </c>
      <c r="AH24" s="119">
        <v>338.0</v>
      </c>
      <c r="AI24" s="119">
        <v>7141.0</v>
      </c>
      <c r="AJ24" s="119">
        <v>5609.0</v>
      </c>
      <c r="AK24" s="120">
        <v>67.0</v>
      </c>
      <c r="AL24" s="119">
        <v>388.0</v>
      </c>
      <c r="AM24" s="119">
        <v>815.0</v>
      </c>
      <c r="AN24" s="119">
        <v>233.0</v>
      </c>
      <c r="AO24" s="121">
        <v>95562.0</v>
      </c>
      <c r="AP24" s="131">
        <v>134403.0</v>
      </c>
      <c r="AQ24" s="119">
        <v>1213.0</v>
      </c>
      <c r="AR24" s="119">
        <v>585.0</v>
      </c>
      <c r="AS24" s="119">
        <v>703.0</v>
      </c>
      <c r="AT24" s="119">
        <v>185.0</v>
      </c>
      <c r="AU24" s="119">
        <v>192.0</v>
      </c>
      <c r="AV24" s="119">
        <v>185.0</v>
      </c>
      <c r="AW24" s="120">
        <v>7141.0</v>
      </c>
      <c r="AX24" s="120">
        <v>15202.0</v>
      </c>
      <c r="AY24" s="120">
        <v>267767.0</v>
      </c>
      <c r="AZ24" s="123">
        <v>0.05677323942083976</v>
      </c>
      <c r="BA24" s="123">
        <v>0.9432267605791602</v>
      </c>
      <c r="BB24" s="116"/>
      <c r="BC24" s="116"/>
      <c r="BD24" s="116"/>
      <c r="BE24" s="116"/>
      <c r="BF24" s="116"/>
      <c r="BG24" s="116"/>
      <c r="BH24" s="116"/>
      <c r="BI24" s="116"/>
    </row>
    <row r="25" ht="15.75" customHeight="1">
      <c r="A25" s="112"/>
      <c r="B25" s="38" t="s">
        <v>63</v>
      </c>
      <c r="C25" s="269">
        <v>120.0</v>
      </c>
      <c r="D25" s="269">
        <v>859.0</v>
      </c>
      <c r="E25" s="269">
        <v>0.0</v>
      </c>
      <c r="F25" s="269"/>
      <c r="G25" s="269">
        <v>0.0</v>
      </c>
      <c r="H25" s="269">
        <v>0.0</v>
      </c>
      <c r="I25" s="269">
        <v>0.0</v>
      </c>
      <c r="J25" s="269">
        <v>0.0</v>
      </c>
      <c r="K25" s="269">
        <v>0.0</v>
      </c>
      <c r="L25" s="269">
        <v>39074.0</v>
      </c>
      <c r="M25" s="269">
        <v>33432.0</v>
      </c>
      <c r="N25" s="269">
        <v>1369.0</v>
      </c>
      <c r="O25" s="269">
        <v>15.0</v>
      </c>
      <c r="P25" s="269">
        <v>8334.0</v>
      </c>
      <c r="Q25" s="270"/>
      <c r="R25" s="269"/>
      <c r="S25" s="270"/>
      <c r="T25" s="130">
        <f t="shared" si="5"/>
        <v>979</v>
      </c>
      <c r="U25" s="130">
        <f t="shared" si="6"/>
        <v>0</v>
      </c>
      <c r="V25" s="130">
        <f t="shared" si="7"/>
        <v>72506</v>
      </c>
      <c r="W25" s="130">
        <f t="shared" si="8"/>
        <v>9718</v>
      </c>
      <c r="X25" s="116">
        <f t="shared" si="9"/>
        <v>0.01559215137</v>
      </c>
      <c r="Y25" s="116">
        <f t="shared" si="10"/>
        <v>0.9844078486</v>
      </c>
      <c r="Z25" s="114">
        <f t="shared" si="1"/>
        <v>979</v>
      </c>
      <c r="AA25" s="114">
        <f t="shared" si="2"/>
        <v>62788</v>
      </c>
      <c r="AB25" s="115">
        <f t="shared" si="3"/>
        <v>0.01559215137</v>
      </c>
      <c r="AC25" s="115">
        <f t="shared" si="4"/>
        <v>0.9844078486</v>
      </c>
      <c r="AD25" s="116"/>
      <c r="AE25" s="116"/>
      <c r="AF25" s="117"/>
      <c r="AG25" s="118" t="s">
        <v>63</v>
      </c>
      <c r="AH25" s="119">
        <v>29.0</v>
      </c>
      <c r="AI25" s="119">
        <v>1632.0</v>
      </c>
      <c r="AJ25" s="119">
        <v>1017.0</v>
      </c>
      <c r="AK25" s="120">
        <v>14.0</v>
      </c>
      <c r="AL25" s="119">
        <v>8.0</v>
      </c>
      <c r="AM25" s="119">
        <v>40.0</v>
      </c>
      <c r="AN25" s="119">
        <v>22.0</v>
      </c>
      <c r="AO25" s="121">
        <v>43677.0</v>
      </c>
      <c r="AP25" s="131">
        <v>32827.0</v>
      </c>
      <c r="AQ25" s="119">
        <v>675.0</v>
      </c>
      <c r="AR25" s="119">
        <v>0.0</v>
      </c>
      <c r="AS25" s="119">
        <v>368.0</v>
      </c>
      <c r="AT25" s="119">
        <v>34.0</v>
      </c>
      <c r="AU25" s="119">
        <v>1.0</v>
      </c>
      <c r="AV25" s="119">
        <v>34.0</v>
      </c>
      <c r="AW25" s="120">
        <v>1632.0</v>
      </c>
      <c r="AX25" s="120">
        <v>178.0</v>
      </c>
      <c r="AY25" s="120">
        <v>108766.0</v>
      </c>
      <c r="AZ25" s="123">
        <v>0.001636540830774323</v>
      </c>
      <c r="BA25" s="123">
        <v>0.9983634591692256</v>
      </c>
      <c r="BB25" s="116"/>
      <c r="BC25" s="116"/>
      <c r="BD25" s="116"/>
      <c r="BE25" s="116"/>
      <c r="BF25" s="116"/>
      <c r="BG25" s="116"/>
      <c r="BH25" s="116"/>
      <c r="BI25" s="116"/>
    </row>
    <row r="26" ht="15.75" customHeight="1">
      <c r="A26" s="112"/>
      <c r="B26" s="38" t="s">
        <v>64</v>
      </c>
      <c r="C26" s="269">
        <v>3.0</v>
      </c>
      <c r="D26" s="269">
        <v>2580.0</v>
      </c>
      <c r="E26" s="269">
        <v>10.0</v>
      </c>
      <c r="F26" s="269"/>
      <c r="G26" s="269">
        <v>192.0</v>
      </c>
      <c r="H26" s="269">
        <v>80.0</v>
      </c>
      <c r="I26" s="269">
        <v>1.0</v>
      </c>
      <c r="J26" s="269">
        <v>7.0</v>
      </c>
      <c r="K26" s="269">
        <v>0.0</v>
      </c>
      <c r="L26" s="269">
        <v>63157.0</v>
      </c>
      <c r="M26" s="269">
        <v>74285.0</v>
      </c>
      <c r="N26" s="269">
        <v>115.0</v>
      </c>
      <c r="O26" s="269">
        <v>3233.0</v>
      </c>
      <c r="P26" s="269">
        <v>27931.0</v>
      </c>
      <c r="Q26" s="270"/>
      <c r="R26" s="269">
        <v>1.0</v>
      </c>
      <c r="S26" s="270"/>
      <c r="T26" s="130">
        <f t="shared" si="5"/>
        <v>2785</v>
      </c>
      <c r="U26" s="130">
        <f t="shared" si="6"/>
        <v>88</v>
      </c>
      <c r="V26" s="130">
        <f t="shared" si="7"/>
        <v>137442</v>
      </c>
      <c r="W26" s="130">
        <f t="shared" si="8"/>
        <v>31280</v>
      </c>
      <c r="X26" s="116">
        <f t="shared" si="9"/>
        <v>0.02706241405</v>
      </c>
      <c r="Y26" s="116">
        <f t="shared" si="10"/>
        <v>0.972937586</v>
      </c>
      <c r="Z26" s="114">
        <f t="shared" si="1"/>
        <v>2873</v>
      </c>
      <c r="AA26" s="114">
        <f t="shared" si="2"/>
        <v>106162</v>
      </c>
      <c r="AB26" s="115">
        <f t="shared" si="3"/>
        <v>0.02706241405</v>
      </c>
      <c r="AC26" s="115">
        <f t="shared" si="4"/>
        <v>0.972937586</v>
      </c>
      <c r="AD26" s="116"/>
      <c r="AE26" s="116"/>
      <c r="AF26" s="117"/>
      <c r="AG26" s="118" t="s">
        <v>64</v>
      </c>
      <c r="AH26" s="119">
        <v>21.0</v>
      </c>
      <c r="AI26" s="119">
        <v>36.0</v>
      </c>
      <c r="AJ26" s="119">
        <v>4703.0</v>
      </c>
      <c r="AK26" s="120">
        <v>27.0</v>
      </c>
      <c r="AL26" s="119">
        <v>8.0</v>
      </c>
      <c r="AM26" s="119">
        <v>4.0</v>
      </c>
      <c r="AN26" s="119">
        <v>9.0</v>
      </c>
      <c r="AO26" s="121">
        <v>77244.0</v>
      </c>
      <c r="AP26" s="131">
        <v>36369.0</v>
      </c>
      <c r="AQ26" s="119">
        <v>2.0</v>
      </c>
      <c r="AR26" s="119">
        <v>70.0</v>
      </c>
      <c r="AS26" s="119">
        <v>32699.0</v>
      </c>
      <c r="AT26" s="119">
        <v>12.0</v>
      </c>
      <c r="AU26" s="119">
        <v>173.0</v>
      </c>
      <c r="AV26" s="119">
        <v>12.0</v>
      </c>
      <c r="AW26" s="120">
        <v>36.0</v>
      </c>
      <c r="AX26" s="120">
        <v>9717.0</v>
      </c>
      <c r="AY26" s="120">
        <v>66757.0</v>
      </c>
      <c r="AZ26" s="123">
        <v>0.14555776922270325</v>
      </c>
      <c r="BA26" s="123">
        <v>0.8544422307772968</v>
      </c>
      <c r="BB26" s="116"/>
      <c r="BC26" s="116"/>
      <c r="BD26" s="116"/>
      <c r="BE26" s="116"/>
      <c r="BF26" s="116"/>
      <c r="BG26" s="116"/>
      <c r="BH26" s="116"/>
      <c r="BI26" s="116"/>
    </row>
    <row r="27" ht="15.75" customHeight="1">
      <c r="A27" s="112"/>
      <c r="B27" s="38" t="s">
        <v>65</v>
      </c>
      <c r="C27" s="269">
        <v>964.0</v>
      </c>
      <c r="D27" s="269">
        <v>2488.0</v>
      </c>
      <c r="E27" s="269">
        <v>48.0</v>
      </c>
      <c r="F27" s="269"/>
      <c r="G27" s="269">
        <v>506.0</v>
      </c>
      <c r="H27" s="269">
        <v>819.0</v>
      </c>
      <c r="I27" s="269">
        <v>60.0</v>
      </c>
      <c r="J27" s="269">
        <v>12.0</v>
      </c>
      <c r="K27" s="269">
        <v>0.0</v>
      </c>
      <c r="L27" s="269">
        <v>49289.0</v>
      </c>
      <c r="M27" s="269">
        <v>44766.0</v>
      </c>
      <c r="N27" s="269">
        <v>447.0</v>
      </c>
      <c r="O27" s="269">
        <v>1257.0</v>
      </c>
      <c r="P27" s="269">
        <v>13087.0</v>
      </c>
      <c r="Q27" s="270"/>
      <c r="R27" s="269">
        <v>25.0</v>
      </c>
      <c r="S27" s="270"/>
      <c r="T27" s="130">
        <f t="shared" si="5"/>
        <v>4006</v>
      </c>
      <c r="U27" s="130">
        <f t="shared" si="6"/>
        <v>891</v>
      </c>
      <c r="V27" s="130">
        <f t="shared" si="7"/>
        <v>94055</v>
      </c>
      <c r="W27" s="130">
        <f t="shared" si="8"/>
        <v>14816</v>
      </c>
      <c r="X27" s="116">
        <f t="shared" si="9"/>
        <v>0.06180037608</v>
      </c>
      <c r="Y27" s="116">
        <f t="shared" si="10"/>
        <v>0.9381996239</v>
      </c>
      <c r="Z27" s="114">
        <f t="shared" si="1"/>
        <v>4897</v>
      </c>
      <c r="AA27" s="114">
        <f t="shared" si="2"/>
        <v>79239</v>
      </c>
      <c r="AB27" s="115">
        <f t="shared" si="3"/>
        <v>0.06180037608</v>
      </c>
      <c r="AC27" s="115">
        <f t="shared" si="4"/>
        <v>0.9381996239</v>
      </c>
      <c r="AD27" s="116"/>
      <c r="AE27" s="116"/>
      <c r="AF27" s="117"/>
      <c r="AG27" s="118" t="s">
        <v>65</v>
      </c>
      <c r="AH27" s="119">
        <v>567.0</v>
      </c>
      <c r="AI27" s="119">
        <v>889.0</v>
      </c>
      <c r="AJ27" s="119">
        <v>4085.0</v>
      </c>
      <c r="AK27" s="120">
        <v>6.0</v>
      </c>
      <c r="AL27" s="119">
        <v>331.0</v>
      </c>
      <c r="AM27" s="119">
        <v>412.0</v>
      </c>
      <c r="AN27" s="119">
        <v>17.0</v>
      </c>
      <c r="AO27" s="121">
        <v>60891.0</v>
      </c>
      <c r="AP27" s="131">
        <v>17304.0</v>
      </c>
      <c r="AQ27" s="119">
        <v>1292.0</v>
      </c>
      <c r="AR27" s="119">
        <v>1449.0</v>
      </c>
      <c r="AS27" s="119">
        <v>18492.0</v>
      </c>
      <c r="AT27" s="119">
        <v>62.0</v>
      </c>
      <c r="AU27" s="119">
        <v>17.0</v>
      </c>
      <c r="AV27" s="119">
        <v>62.0</v>
      </c>
      <c r="AW27" s="120">
        <v>889.0</v>
      </c>
      <c r="AX27" s="120">
        <v>5973.0</v>
      </c>
      <c r="AY27" s="120">
        <v>47301.0</v>
      </c>
      <c r="AZ27" s="123">
        <v>0.12627640007610832</v>
      </c>
      <c r="BA27" s="123">
        <v>0.8737235999238917</v>
      </c>
      <c r="BB27" s="116"/>
      <c r="BC27" s="116"/>
      <c r="BD27" s="116"/>
      <c r="BE27" s="116"/>
      <c r="BF27" s="116"/>
      <c r="BG27" s="116"/>
      <c r="BH27" s="116"/>
      <c r="BI27" s="116"/>
    </row>
    <row r="28" ht="15.75" customHeight="1">
      <c r="A28" s="112"/>
      <c r="B28" s="38" t="s">
        <v>66</v>
      </c>
      <c r="C28" s="269">
        <v>59.0</v>
      </c>
      <c r="D28" s="269">
        <v>793.0</v>
      </c>
      <c r="E28" s="269">
        <v>0.0</v>
      </c>
      <c r="F28" s="269"/>
      <c r="G28" s="269">
        <v>19.0</v>
      </c>
      <c r="H28" s="269">
        <v>40.0</v>
      </c>
      <c r="I28" s="269">
        <v>23.0</v>
      </c>
      <c r="J28" s="269">
        <v>23.0</v>
      </c>
      <c r="K28" s="269">
        <v>0.0</v>
      </c>
      <c r="L28" s="269">
        <v>40751.0</v>
      </c>
      <c r="M28" s="269">
        <v>42834.0</v>
      </c>
      <c r="N28" s="269">
        <v>0.0</v>
      </c>
      <c r="O28" s="269">
        <v>286.0</v>
      </c>
      <c r="P28" s="269">
        <v>0.0</v>
      </c>
      <c r="Q28" s="270"/>
      <c r="R28" s="269">
        <v>0.0</v>
      </c>
      <c r="S28" s="270"/>
      <c r="T28" s="130">
        <f t="shared" si="5"/>
        <v>871</v>
      </c>
      <c r="U28" s="130">
        <f t="shared" si="6"/>
        <v>86</v>
      </c>
      <c r="V28" s="130">
        <f t="shared" si="7"/>
        <v>83585</v>
      </c>
      <c r="W28" s="130">
        <f t="shared" si="8"/>
        <v>286</v>
      </c>
      <c r="X28" s="116">
        <f t="shared" si="9"/>
        <v>0.01148873336</v>
      </c>
      <c r="Y28" s="116">
        <f t="shared" si="10"/>
        <v>0.9885112666</v>
      </c>
      <c r="Z28" s="114">
        <f t="shared" si="1"/>
        <v>957</v>
      </c>
      <c r="AA28" s="114">
        <f t="shared" si="2"/>
        <v>83299</v>
      </c>
      <c r="AB28" s="115">
        <f t="shared" si="3"/>
        <v>0.01148873336</v>
      </c>
      <c r="AC28" s="115">
        <f t="shared" si="4"/>
        <v>0.9885112666</v>
      </c>
      <c r="AD28" s="116"/>
      <c r="AE28" s="116"/>
      <c r="AF28" s="117"/>
      <c r="AG28" s="118" t="s">
        <v>66</v>
      </c>
      <c r="AH28" s="119">
        <v>85.0</v>
      </c>
      <c r="AI28" s="119">
        <v>231.0</v>
      </c>
      <c r="AJ28" s="119">
        <v>1566.0</v>
      </c>
      <c r="AK28" s="120">
        <v>0.0</v>
      </c>
      <c r="AL28" s="119">
        <v>3.0</v>
      </c>
      <c r="AM28" s="119">
        <v>12.0</v>
      </c>
      <c r="AN28" s="119">
        <v>11.0</v>
      </c>
      <c r="AO28" s="121">
        <v>52006.0</v>
      </c>
      <c r="AP28" s="131">
        <v>26176.0</v>
      </c>
      <c r="AQ28" s="119">
        <v>60.0</v>
      </c>
      <c r="AR28" s="119">
        <v>160.0</v>
      </c>
      <c r="AS28" s="119">
        <v>1140.0</v>
      </c>
      <c r="AT28" s="119">
        <v>5.0</v>
      </c>
      <c r="AU28" s="119">
        <v>9.0</v>
      </c>
      <c r="AV28" s="119">
        <v>5.0</v>
      </c>
      <c r="AW28" s="120">
        <v>231.0</v>
      </c>
      <c r="AX28" s="120">
        <v>1474.0</v>
      </c>
      <c r="AY28" s="120">
        <v>48777.0</v>
      </c>
      <c r="AZ28" s="123">
        <v>0.030219160669987904</v>
      </c>
      <c r="BA28" s="123">
        <v>0.9697808393300121</v>
      </c>
      <c r="BB28" s="116"/>
      <c r="BC28" s="116"/>
      <c r="BD28" s="116"/>
      <c r="BE28" s="116"/>
      <c r="BF28" s="116"/>
      <c r="BG28" s="116"/>
      <c r="BH28" s="116"/>
      <c r="BI28" s="116"/>
    </row>
    <row r="29" ht="15.75" customHeight="1">
      <c r="A29" s="112"/>
      <c r="B29" s="38" t="s">
        <v>67</v>
      </c>
      <c r="C29" s="269">
        <v>78.0</v>
      </c>
      <c r="D29" s="269">
        <v>2338.0</v>
      </c>
      <c r="E29" s="269">
        <v>26.0</v>
      </c>
      <c r="F29" s="269"/>
      <c r="G29" s="269">
        <v>63.0</v>
      </c>
      <c r="H29" s="269">
        <v>0.0</v>
      </c>
      <c r="I29" s="269">
        <v>0.0</v>
      </c>
      <c r="J29" s="269">
        <v>0.0</v>
      </c>
      <c r="K29" s="269">
        <v>0.0</v>
      </c>
      <c r="L29" s="269">
        <v>45436.0</v>
      </c>
      <c r="M29" s="269">
        <v>25667.0</v>
      </c>
      <c r="N29" s="269">
        <v>243.0</v>
      </c>
      <c r="O29" s="269">
        <v>98.0</v>
      </c>
      <c r="P29" s="269">
        <v>24040.0</v>
      </c>
      <c r="Q29" s="270"/>
      <c r="R29" s="269">
        <v>3.0</v>
      </c>
      <c r="S29" s="270"/>
      <c r="T29" s="130">
        <f t="shared" si="5"/>
        <v>2505</v>
      </c>
      <c r="U29" s="130">
        <f t="shared" si="6"/>
        <v>0</v>
      </c>
      <c r="V29" s="130">
        <f t="shared" si="7"/>
        <v>71103</v>
      </c>
      <c r="W29" s="130">
        <f t="shared" si="8"/>
        <v>24384</v>
      </c>
      <c r="X29" s="116">
        <f t="shared" si="9"/>
        <v>0.05361844218</v>
      </c>
      <c r="Y29" s="116">
        <f t="shared" si="10"/>
        <v>0.9463815578</v>
      </c>
      <c r="Z29" s="114">
        <f t="shared" si="1"/>
        <v>2505</v>
      </c>
      <c r="AA29" s="114">
        <f t="shared" si="2"/>
        <v>46719</v>
      </c>
      <c r="AB29" s="115">
        <f t="shared" si="3"/>
        <v>0.05361844218</v>
      </c>
      <c r="AC29" s="115">
        <f t="shared" si="4"/>
        <v>0.9463815578</v>
      </c>
      <c r="AD29" s="116"/>
      <c r="AE29" s="116"/>
      <c r="AF29" s="117"/>
      <c r="AG29" s="118" t="s">
        <v>67</v>
      </c>
      <c r="AH29" s="119">
        <v>194.0</v>
      </c>
      <c r="AI29" s="119">
        <v>447.0</v>
      </c>
      <c r="AJ29" s="119">
        <v>540.0</v>
      </c>
      <c r="AK29" s="120">
        <v>7.0</v>
      </c>
      <c r="AL29" s="119">
        <v>545.0</v>
      </c>
      <c r="AM29" s="119">
        <v>32.0</v>
      </c>
      <c r="AN29" s="119">
        <v>0.0</v>
      </c>
      <c r="AO29" s="121">
        <v>59282.0</v>
      </c>
      <c r="AP29" s="131">
        <v>37235.0</v>
      </c>
      <c r="AQ29" s="119">
        <v>178.0</v>
      </c>
      <c r="AR29" s="119">
        <v>1149.0</v>
      </c>
      <c r="AS29" s="119">
        <v>4139.0</v>
      </c>
      <c r="AT29" s="119">
        <v>54.0</v>
      </c>
      <c r="AU29" s="119">
        <v>0.0</v>
      </c>
      <c r="AV29" s="119">
        <v>54.0</v>
      </c>
      <c r="AW29" s="120">
        <v>447.0</v>
      </c>
      <c r="AX29" s="120">
        <v>2703.0</v>
      </c>
      <c r="AY29" s="120">
        <v>77085.0</v>
      </c>
      <c r="AZ29" s="123">
        <v>0.03506518777972368</v>
      </c>
      <c r="BA29" s="123">
        <v>0.9649348122202763</v>
      </c>
      <c r="BB29" s="116"/>
      <c r="BC29" s="116"/>
      <c r="BD29" s="116"/>
      <c r="BE29" s="116"/>
      <c r="BF29" s="116"/>
      <c r="BG29" s="116"/>
      <c r="BH29" s="116"/>
      <c r="BI29" s="116"/>
    </row>
    <row r="30" ht="15.75" customHeight="1">
      <c r="A30" s="112"/>
      <c r="B30" s="38" t="s">
        <v>68</v>
      </c>
      <c r="C30" s="269">
        <v>0.0</v>
      </c>
      <c r="D30" s="269">
        <v>579.0</v>
      </c>
      <c r="E30" s="269">
        <v>2.0</v>
      </c>
      <c r="F30" s="269"/>
      <c r="G30" s="269">
        <v>0.0</v>
      </c>
      <c r="H30" s="269">
        <v>447.0</v>
      </c>
      <c r="I30" s="269">
        <v>48.0</v>
      </c>
      <c r="J30" s="269">
        <v>5.0</v>
      </c>
      <c r="K30" s="269">
        <v>0.0</v>
      </c>
      <c r="L30" s="269">
        <v>22313.0</v>
      </c>
      <c r="M30" s="269">
        <v>46239.0</v>
      </c>
      <c r="N30" s="269">
        <v>80.0</v>
      </c>
      <c r="O30" s="269">
        <v>532.0</v>
      </c>
      <c r="P30" s="269">
        <v>5786.0</v>
      </c>
      <c r="Q30" s="270"/>
      <c r="R30" s="269">
        <v>0.0</v>
      </c>
      <c r="S30" s="270"/>
      <c r="T30" s="130">
        <f t="shared" si="5"/>
        <v>581</v>
      </c>
      <c r="U30" s="130">
        <f t="shared" si="6"/>
        <v>500</v>
      </c>
      <c r="V30" s="130">
        <f t="shared" si="7"/>
        <v>68552</v>
      </c>
      <c r="W30" s="130">
        <f t="shared" si="8"/>
        <v>6398</v>
      </c>
      <c r="X30" s="116">
        <f t="shared" si="9"/>
        <v>0.01739228368</v>
      </c>
      <c r="Y30" s="116">
        <f t="shared" si="10"/>
        <v>0.9826077163</v>
      </c>
      <c r="Z30" s="114">
        <f t="shared" si="1"/>
        <v>1081</v>
      </c>
      <c r="AA30" s="114">
        <f t="shared" si="2"/>
        <v>62154</v>
      </c>
      <c r="AB30" s="115">
        <f t="shared" si="3"/>
        <v>0.01739228368</v>
      </c>
      <c r="AC30" s="115">
        <f t="shared" si="4"/>
        <v>0.9826077163</v>
      </c>
      <c r="AD30" s="116"/>
      <c r="AE30" s="116"/>
      <c r="AF30" s="117"/>
      <c r="AG30" s="118" t="s">
        <v>68</v>
      </c>
      <c r="AH30" s="119">
        <v>1.0</v>
      </c>
      <c r="AI30" s="119">
        <v>0.0</v>
      </c>
      <c r="AJ30" s="119">
        <v>2866.0</v>
      </c>
      <c r="AK30" s="120">
        <v>40.0</v>
      </c>
      <c r="AL30" s="119">
        <v>63.0</v>
      </c>
      <c r="AM30" s="119">
        <v>39.0</v>
      </c>
      <c r="AN30" s="119">
        <v>1.0</v>
      </c>
      <c r="AO30" s="121">
        <v>29224.0</v>
      </c>
      <c r="AP30" s="131">
        <v>16057.0</v>
      </c>
      <c r="AQ30" s="119">
        <v>13.0</v>
      </c>
      <c r="AR30" s="119">
        <v>292.0</v>
      </c>
      <c r="AS30" s="119">
        <v>4600.0</v>
      </c>
      <c r="AT30" s="119">
        <v>99.0</v>
      </c>
      <c r="AU30" s="119">
        <v>0.0</v>
      </c>
      <c r="AV30" s="119">
        <v>99.0</v>
      </c>
      <c r="AW30" s="120">
        <v>0.0</v>
      </c>
      <c r="AX30" s="120">
        <v>5205.0</v>
      </c>
      <c r="AY30" s="120">
        <v>105582.0</v>
      </c>
      <c r="AZ30" s="123">
        <v>0.04929817582542479</v>
      </c>
      <c r="BA30" s="123">
        <v>0.9507018241745752</v>
      </c>
      <c r="BB30" s="116"/>
      <c r="BC30" s="116"/>
      <c r="BD30" s="116"/>
      <c r="BE30" s="116"/>
      <c r="BF30" s="116"/>
      <c r="BG30" s="116"/>
      <c r="BH30" s="116"/>
      <c r="BI30" s="116"/>
    </row>
    <row r="31" ht="15.75" customHeight="1">
      <c r="A31" s="179"/>
      <c r="B31" s="204" t="s">
        <v>69</v>
      </c>
      <c r="C31" s="271">
        <v>0.0</v>
      </c>
      <c r="D31" s="271">
        <v>3753.0</v>
      </c>
      <c r="E31" s="271"/>
      <c r="F31" s="271"/>
      <c r="G31" s="271">
        <v>90.0</v>
      </c>
      <c r="H31" s="271">
        <v>2416.0</v>
      </c>
      <c r="I31" s="271">
        <v>0.0</v>
      </c>
      <c r="J31" s="271">
        <v>1.0</v>
      </c>
      <c r="K31" s="271">
        <v>0.0</v>
      </c>
      <c r="L31" s="271">
        <v>29033.0</v>
      </c>
      <c r="M31" s="271"/>
      <c r="N31" s="271">
        <v>12.0</v>
      </c>
      <c r="O31" s="271">
        <v>7.0</v>
      </c>
      <c r="P31" s="271">
        <v>5250.0</v>
      </c>
      <c r="Q31" s="272"/>
      <c r="R31" s="271"/>
      <c r="S31" s="272"/>
      <c r="T31" s="130">
        <f t="shared" si="5"/>
        <v>3843</v>
      </c>
      <c r="U31" s="130">
        <f t="shared" si="6"/>
        <v>2417</v>
      </c>
      <c r="V31" s="130">
        <f t="shared" si="7"/>
        <v>29033</v>
      </c>
      <c r="W31" s="130">
        <f t="shared" si="8"/>
        <v>5269</v>
      </c>
      <c r="X31" s="116">
        <f t="shared" si="9"/>
        <v>0.263423666</v>
      </c>
      <c r="Y31" s="116">
        <f t="shared" si="10"/>
        <v>0.736576334</v>
      </c>
      <c r="Z31" s="114">
        <f t="shared" si="1"/>
        <v>6260</v>
      </c>
      <c r="AA31" s="114">
        <f t="shared" si="2"/>
        <v>23764</v>
      </c>
      <c r="AB31" s="115">
        <f t="shared" si="3"/>
        <v>0.263423666</v>
      </c>
      <c r="AC31" s="115">
        <f t="shared" si="4"/>
        <v>0.736576334</v>
      </c>
      <c r="AD31" s="116"/>
      <c r="AE31" s="116"/>
      <c r="AF31" s="117"/>
      <c r="AG31" s="118" t="s">
        <v>69</v>
      </c>
      <c r="AH31" s="119">
        <v>0.0</v>
      </c>
      <c r="AI31" s="119">
        <v>0.0</v>
      </c>
      <c r="AJ31" s="119">
        <v>3889.0</v>
      </c>
      <c r="AK31" s="120">
        <v>317.0</v>
      </c>
      <c r="AL31" s="119">
        <v>31.0</v>
      </c>
      <c r="AM31" s="119">
        <v>1037.0</v>
      </c>
      <c r="AN31" s="119">
        <v>18.0</v>
      </c>
      <c r="AO31" s="121">
        <v>37098.0</v>
      </c>
      <c r="AP31" s="131">
        <v>23866.0</v>
      </c>
      <c r="AQ31" s="119">
        <v>0.0</v>
      </c>
      <c r="AR31" s="119">
        <v>39.0</v>
      </c>
      <c r="AS31" s="119">
        <v>522.0</v>
      </c>
      <c r="AT31" s="119">
        <v>59.0</v>
      </c>
      <c r="AU31" s="119">
        <v>243.0</v>
      </c>
      <c r="AV31" s="119">
        <v>59.0</v>
      </c>
      <c r="AW31" s="120">
        <v>0.0</v>
      </c>
      <c r="AX31" s="120">
        <v>2144.0</v>
      </c>
      <c r="AY31" s="120">
        <v>34252.0</v>
      </c>
      <c r="AZ31" s="123">
        <v>0.06259488497022071</v>
      </c>
      <c r="BA31" s="123">
        <v>0.9374051150297793</v>
      </c>
      <c r="BB31" s="116"/>
      <c r="BC31" s="116"/>
      <c r="BD31" s="116"/>
      <c r="BE31" s="116"/>
      <c r="BF31" s="116"/>
      <c r="BG31" s="116"/>
      <c r="BH31" s="116"/>
      <c r="BI31" s="116"/>
    </row>
    <row r="32" ht="15.75" customHeight="1">
      <c r="A32" s="179"/>
      <c r="B32" s="204" t="s">
        <v>70</v>
      </c>
      <c r="C32" s="271">
        <v>3.0</v>
      </c>
      <c r="D32" s="271">
        <v>924.0</v>
      </c>
      <c r="E32" s="271">
        <v>0.0</v>
      </c>
      <c r="F32" s="271"/>
      <c r="G32" s="271">
        <v>0.0</v>
      </c>
      <c r="H32" s="271">
        <v>0.0</v>
      </c>
      <c r="I32" s="271">
        <v>43.0</v>
      </c>
      <c r="J32" s="271">
        <v>8.0</v>
      </c>
      <c r="K32" s="271">
        <v>0.0</v>
      </c>
      <c r="L32" s="271">
        <v>40369.0</v>
      </c>
      <c r="M32" s="271"/>
      <c r="N32" s="271">
        <v>1082.0</v>
      </c>
      <c r="O32" s="271">
        <v>113.0</v>
      </c>
      <c r="P32" s="271">
        <v>1791.0</v>
      </c>
      <c r="Q32" s="272"/>
      <c r="R32" s="271">
        <v>0.0</v>
      </c>
      <c r="S32" s="272"/>
      <c r="T32" s="130">
        <f t="shared" si="5"/>
        <v>927</v>
      </c>
      <c r="U32" s="130">
        <f t="shared" si="6"/>
        <v>51</v>
      </c>
      <c r="V32" s="130">
        <f t="shared" si="7"/>
        <v>40369</v>
      </c>
      <c r="W32" s="130">
        <f t="shared" si="8"/>
        <v>2986</v>
      </c>
      <c r="X32" s="116">
        <f t="shared" si="9"/>
        <v>0.02616162427</v>
      </c>
      <c r="Y32" s="116">
        <f t="shared" si="10"/>
        <v>0.9738383757</v>
      </c>
      <c r="Z32" s="114">
        <f t="shared" si="1"/>
        <v>978</v>
      </c>
      <c r="AA32" s="114">
        <f t="shared" si="2"/>
        <v>37383</v>
      </c>
      <c r="AB32" s="115">
        <f t="shared" si="3"/>
        <v>0.02616162427</v>
      </c>
      <c r="AC32" s="115">
        <f t="shared" si="4"/>
        <v>0.9738383757</v>
      </c>
      <c r="AD32" s="116"/>
      <c r="AE32" s="116"/>
      <c r="AF32" s="117"/>
      <c r="AG32" s="118" t="s">
        <v>70</v>
      </c>
      <c r="AH32" s="119">
        <v>0.0</v>
      </c>
      <c r="AI32" s="119">
        <v>6.0</v>
      </c>
      <c r="AJ32" s="119">
        <v>1392.0</v>
      </c>
      <c r="AK32" s="120">
        <v>13.0</v>
      </c>
      <c r="AL32" s="119">
        <v>268.0</v>
      </c>
      <c r="AM32" s="119">
        <v>117.0</v>
      </c>
      <c r="AN32" s="119">
        <v>38.0</v>
      </c>
      <c r="AO32" s="121">
        <v>40789.0</v>
      </c>
      <c r="AP32" s="131">
        <v>26221.0</v>
      </c>
      <c r="AQ32" s="119">
        <v>2645.0</v>
      </c>
      <c r="AR32" s="119">
        <v>201.0</v>
      </c>
      <c r="AS32" s="119">
        <v>173.0</v>
      </c>
      <c r="AT32" s="119">
        <v>3.0</v>
      </c>
      <c r="AU32" s="119">
        <v>4.0</v>
      </c>
      <c r="AV32" s="119">
        <v>3.0</v>
      </c>
      <c r="AW32" s="120">
        <v>6.0</v>
      </c>
      <c r="AX32" s="120">
        <v>6745.0</v>
      </c>
      <c r="AY32" s="120">
        <v>118952.0</v>
      </c>
      <c r="AZ32" s="123">
        <v>0.056703544286771136</v>
      </c>
      <c r="BA32" s="123">
        <v>0.9432964557132288</v>
      </c>
      <c r="BB32" s="116"/>
      <c r="BC32" s="116"/>
      <c r="BD32" s="116"/>
      <c r="BE32" s="116"/>
      <c r="BF32" s="116"/>
      <c r="BG32" s="116"/>
      <c r="BH32" s="116"/>
      <c r="BI32" s="116"/>
    </row>
    <row r="33" ht="15.75" customHeight="1">
      <c r="A33" s="112"/>
      <c r="B33" s="38" t="s">
        <v>71</v>
      </c>
      <c r="C33" s="269">
        <v>1.0</v>
      </c>
      <c r="D33" s="269">
        <v>1717.0</v>
      </c>
      <c r="E33" s="269"/>
      <c r="F33" s="269"/>
      <c r="G33" s="269">
        <v>33.0</v>
      </c>
      <c r="H33" s="269">
        <v>150.0</v>
      </c>
      <c r="I33" s="269">
        <v>96.0</v>
      </c>
      <c r="J33" s="269">
        <v>28.0</v>
      </c>
      <c r="K33" s="269">
        <v>0.0</v>
      </c>
      <c r="L33" s="269">
        <v>31485.0</v>
      </c>
      <c r="M33" s="269">
        <v>31118.0</v>
      </c>
      <c r="N33" s="269">
        <v>230.0</v>
      </c>
      <c r="O33" s="269">
        <v>784.0</v>
      </c>
      <c r="P33" s="269">
        <v>157.0</v>
      </c>
      <c r="Q33" s="270"/>
      <c r="R33" s="269"/>
      <c r="S33" s="270"/>
      <c r="T33" s="130">
        <f t="shared" si="5"/>
        <v>1751</v>
      </c>
      <c r="U33" s="130">
        <f t="shared" si="6"/>
        <v>274</v>
      </c>
      <c r="V33" s="130">
        <f t="shared" si="7"/>
        <v>62603</v>
      </c>
      <c r="W33" s="130">
        <f t="shared" si="8"/>
        <v>1171</v>
      </c>
      <c r="X33" s="116">
        <f t="shared" si="9"/>
        <v>0.03296327647</v>
      </c>
      <c r="Y33" s="116">
        <f t="shared" si="10"/>
        <v>0.9670367235</v>
      </c>
      <c r="Z33" s="114">
        <f t="shared" si="1"/>
        <v>2025</v>
      </c>
      <c r="AA33" s="114">
        <f t="shared" si="2"/>
        <v>61432</v>
      </c>
      <c r="AB33" s="115">
        <f t="shared" si="3"/>
        <v>0.03296327647</v>
      </c>
      <c r="AC33" s="115">
        <f t="shared" si="4"/>
        <v>0.9670367235</v>
      </c>
      <c r="AD33" s="116"/>
      <c r="AE33" s="116"/>
      <c r="AF33" s="117"/>
      <c r="AG33" s="118" t="s">
        <v>71</v>
      </c>
      <c r="AH33" s="119">
        <v>0.0</v>
      </c>
      <c r="AI33" s="119">
        <v>0.0</v>
      </c>
      <c r="AJ33" s="119">
        <v>1080.0</v>
      </c>
      <c r="AK33" s="120">
        <v>0.0</v>
      </c>
      <c r="AL33" s="119">
        <v>0.0</v>
      </c>
      <c r="AM33" s="119">
        <v>186.0</v>
      </c>
      <c r="AN33" s="119">
        <v>314.0</v>
      </c>
      <c r="AO33" s="121">
        <v>41629.0</v>
      </c>
      <c r="AP33" s="131">
        <v>29470.0</v>
      </c>
      <c r="AQ33" s="119">
        <v>71.0</v>
      </c>
      <c r="AR33" s="119">
        <v>752.0</v>
      </c>
      <c r="AS33" s="119">
        <v>280.0</v>
      </c>
      <c r="AT33" s="119">
        <v>0.0</v>
      </c>
      <c r="AU33" s="119">
        <v>0.0</v>
      </c>
      <c r="AV33" s="119">
        <v>0.0</v>
      </c>
      <c r="AW33" s="120">
        <v>0.0</v>
      </c>
      <c r="AX33" s="120">
        <v>6070.0</v>
      </c>
      <c r="AY33" s="120">
        <v>67671.0</v>
      </c>
      <c r="AZ33" s="123">
        <v>0.08969868924650146</v>
      </c>
      <c r="BA33" s="123">
        <v>0.9103013107534985</v>
      </c>
      <c r="BB33" s="116"/>
      <c r="BC33" s="116"/>
      <c r="BD33" s="116"/>
      <c r="BE33" s="116"/>
      <c r="BF33" s="116"/>
      <c r="BG33" s="116"/>
      <c r="BH33" s="116"/>
      <c r="BI33" s="116"/>
    </row>
    <row r="34" ht="15.75" customHeight="1">
      <c r="A34" s="179"/>
      <c r="B34" s="38" t="s">
        <v>72</v>
      </c>
      <c r="C34" s="269">
        <v>13.0</v>
      </c>
      <c r="D34" s="269">
        <v>0.0</v>
      </c>
      <c r="E34" s="269">
        <v>3.0</v>
      </c>
      <c r="F34" s="269"/>
      <c r="G34" s="269">
        <v>61.0</v>
      </c>
      <c r="H34" s="269">
        <v>23.0</v>
      </c>
      <c r="I34" s="269">
        <v>2.0</v>
      </c>
      <c r="J34" s="269">
        <v>0.0</v>
      </c>
      <c r="K34" s="269">
        <v>0.0</v>
      </c>
      <c r="L34" s="269">
        <v>4006.0</v>
      </c>
      <c r="M34" s="269">
        <v>2136.0</v>
      </c>
      <c r="N34" s="269">
        <v>12.0</v>
      </c>
      <c r="O34" s="269">
        <v>77.0</v>
      </c>
      <c r="P34" s="269">
        <v>208.0</v>
      </c>
      <c r="Q34" s="270"/>
      <c r="R34" s="269">
        <v>0.0</v>
      </c>
      <c r="S34" s="270"/>
      <c r="T34" s="130">
        <f t="shared" si="5"/>
        <v>77</v>
      </c>
      <c r="U34" s="130">
        <f t="shared" si="6"/>
        <v>25</v>
      </c>
      <c r="V34" s="130">
        <f t="shared" si="7"/>
        <v>6142</v>
      </c>
      <c r="W34" s="130">
        <f t="shared" si="8"/>
        <v>297</v>
      </c>
      <c r="X34" s="116">
        <f t="shared" si="9"/>
        <v>0.01745081266</v>
      </c>
      <c r="Y34" s="116">
        <f t="shared" si="10"/>
        <v>0.9825491873</v>
      </c>
      <c r="Z34" s="114">
        <f t="shared" si="1"/>
        <v>102</v>
      </c>
      <c r="AA34" s="114">
        <f t="shared" si="2"/>
        <v>5845</v>
      </c>
      <c r="AB34" s="115">
        <f t="shared" si="3"/>
        <v>0.01745081266</v>
      </c>
      <c r="AC34" s="115">
        <f t="shared" si="4"/>
        <v>0.9825491873</v>
      </c>
      <c r="AD34" s="116"/>
      <c r="AE34" s="116"/>
      <c r="AF34" s="117"/>
      <c r="AG34" s="118" t="s">
        <v>72</v>
      </c>
      <c r="AH34" s="119">
        <v>0.0</v>
      </c>
      <c r="AI34" s="119">
        <v>0.0</v>
      </c>
      <c r="AJ34" s="119">
        <v>6.0</v>
      </c>
      <c r="AK34" s="120">
        <v>0.0</v>
      </c>
      <c r="AL34" s="119">
        <v>15.0</v>
      </c>
      <c r="AM34" s="119">
        <v>8.0</v>
      </c>
      <c r="AN34" s="119">
        <v>3.0</v>
      </c>
      <c r="AO34" s="121">
        <v>3882.0</v>
      </c>
      <c r="AP34" s="131">
        <v>3706.0</v>
      </c>
      <c r="AQ34" s="119">
        <v>7.0</v>
      </c>
      <c r="AR34" s="119">
        <v>72.0</v>
      </c>
      <c r="AS34" s="119">
        <v>0.0</v>
      </c>
      <c r="AT34" s="119">
        <v>23.0</v>
      </c>
      <c r="AU34" s="119">
        <v>16.0</v>
      </c>
      <c r="AV34" s="119">
        <v>23.0</v>
      </c>
      <c r="AW34" s="120">
        <v>0.0</v>
      </c>
      <c r="AX34" s="120">
        <v>59.0</v>
      </c>
      <c r="AY34" s="120">
        <v>8028.0</v>
      </c>
      <c r="AZ34" s="123">
        <v>0.007349277528649726</v>
      </c>
      <c r="BA34" s="123">
        <v>0.9926507224713502</v>
      </c>
      <c r="BB34" s="116"/>
      <c r="BC34" s="116"/>
      <c r="BD34" s="116"/>
      <c r="BE34" s="116"/>
      <c r="BF34" s="116"/>
      <c r="BG34" s="116"/>
      <c r="BH34" s="116"/>
      <c r="BI34" s="116"/>
    </row>
    <row r="35" ht="15.75" customHeight="1">
      <c r="A35" s="112"/>
      <c r="B35" s="38" t="s">
        <v>73</v>
      </c>
      <c r="C35" s="269">
        <v>39.0</v>
      </c>
      <c r="D35" s="269"/>
      <c r="E35" s="269">
        <v>8.0</v>
      </c>
      <c r="F35" s="269"/>
      <c r="G35" s="269">
        <v>44.0</v>
      </c>
      <c r="H35" s="269">
        <v>72.0</v>
      </c>
      <c r="I35" s="269">
        <v>6.0</v>
      </c>
      <c r="J35" s="269">
        <v>1.0</v>
      </c>
      <c r="K35" s="269">
        <v>0.0</v>
      </c>
      <c r="L35" s="269">
        <v>86002.0</v>
      </c>
      <c r="M35" s="269">
        <v>57944.0</v>
      </c>
      <c r="N35" s="269">
        <v>246.0</v>
      </c>
      <c r="O35" s="269">
        <v>7767.0</v>
      </c>
      <c r="P35" s="269">
        <v>6410.0</v>
      </c>
      <c r="Q35" s="270"/>
      <c r="R35" s="269">
        <v>8.0</v>
      </c>
      <c r="S35" s="270"/>
      <c r="T35" s="130">
        <f t="shared" si="5"/>
        <v>91</v>
      </c>
      <c r="U35" s="130">
        <f t="shared" si="6"/>
        <v>79</v>
      </c>
      <c r="V35" s="130">
        <f t="shared" si="7"/>
        <v>143946</v>
      </c>
      <c r="W35" s="130">
        <f t="shared" si="8"/>
        <v>14431</v>
      </c>
      <c r="X35" s="116">
        <f t="shared" si="9"/>
        <v>0.001312589275</v>
      </c>
      <c r="Y35" s="116">
        <f t="shared" si="10"/>
        <v>0.9986874107</v>
      </c>
      <c r="Z35" s="114">
        <f t="shared" si="1"/>
        <v>170</v>
      </c>
      <c r="AA35" s="114">
        <f t="shared" si="2"/>
        <v>129515</v>
      </c>
      <c r="AB35" s="115">
        <f t="shared" si="3"/>
        <v>0.001312589275</v>
      </c>
      <c r="AC35" s="115">
        <f t="shared" si="4"/>
        <v>0.9986874107</v>
      </c>
      <c r="AD35" s="116"/>
      <c r="AE35" s="116"/>
      <c r="AF35" s="117"/>
      <c r="AG35" s="118" t="s">
        <v>73</v>
      </c>
      <c r="AH35" s="119">
        <v>51.0</v>
      </c>
      <c r="AI35" s="119">
        <v>514.0</v>
      </c>
      <c r="AJ35" s="119">
        <v>5789.0</v>
      </c>
      <c r="AK35" s="120">
        <v>304.0</v>
      </c>
      <c r="AL35" s="119">
        <v>48.0</v>
      </c>
      <c r="AM35" s="119">
        <v>49.0</v>
      </c>
      <c r="AN35" s="119">
        <v>95.0</v>
      </c>
      <c r="AO35" s="121">
        <v>83575.0</v>
      </c>
      <c r="AP35" s="131">
        <v>25752.0</v>
      </c>
      <c r="AQ35" s="119">
        <v>101.0</v>
      </c>
      <c r="AR35" s="119">
        <v>7807.0</v>
      </c>
      <c r="AS35" s="119">
        <v>6126.0</v>
      </c>
      <c r="AT35" s="119">
        <v>102.0</v>
      </c>
      <c r="AU35" s="119">
        <v>292.0</v>
      </c>
      <c r="AV35" s="119">
        <v>102.0</v>
      </c>
      <c r="AW35" s="120">
        <v>514.0</v>
      </c>
      <c r="AX35" s="120">
        <v>2012.0</v>
      </c>
      <c r="AY35" s="120">
        <v>103148.0</v>
      </c>
      <c r="AZ35" s="123">
        <v>0.01950595261178113</v>
      </c>
      <c r="BA35" s="123">
        <v>0.9804940473882189</v>
      </c>
      <c r="BB35" s="116"/>
      <c r="BC35" s="116"/>
      <c r="BD35" s="116"/>
      <c r="BE35" s="116"/>
      <c r="BF35" s="116"/>
      <c r="BG35" s="116"/>
      <c r="BH35" s="116"/>
      <c r="BI35" s="116"/>
    </row>
    <row r="36" ht="15.75" customHeight="1">
      <c r="A36" s="112"/>
      <c r="B36" s="38" t="s">
        <v>74</v>
      </c>
      <c r="C36" s="269">
        <v>9.0</v>
      </c>
      <c r="D36" s="269">
        <v>791.0</v>
      </c>
      <c r="E36" s="269">
        <v>2.0</v>
      </c>
      <c r="F36" s="269"/>
      <c r="G36" s="269">
        <v>0.0</v>
      </c>
      <c r="H36" s="269">
        <v>128.0</v>
      </c>
      <c r="I36" s="269">
        <v>65.0</v>
      </c>
      <c r="J36" s="269">
        <v>11.0</v>
      </c>
      <c r="K36" s="269">
        <v>2.0</v>
      </c>
      <c r="L36" s="269">
        <v>8417.0</v>
      </c>
      <c r="M36" s="269">
        <v>9229.0</v>
      </c>
      <c r="N36" s="269">
        <v>334.0</v>
      </c>
      <c r="O36" s="269">
        <v>206.0</v>
      </c>
      <c r="P36" s="269">
        <v>1493.0</v>
      </c>
      <c r="Q36" s="270"/>
      <c r="R36" s="269">
        <v>0.0</v>
      </c>
      <c r="S36" s="270"/>
      <c r="T36" s="130">
        <f t="shared" si="5"/>
        <v>802</v>
      </c>
      <c r="U36" s="130">
        <f t="shared" si="6"/>
        <v>206</v>
      </c>
      <c r="V36" s="130">
        <f t="shared" si="7"/>
        <v>17646</v>
      </c>
      <c r="W36" s="130">
        <f t="shared" si="8"/>
        <v>2033</v>
      </c>
      <c r="X36" s="116">
        <f t="shared" si="9"/>
        <v>0.0645615833</v>
      </c>
      <c r="Y36" s="116">
        <f t="shared" si="10"/>
        <v>0.9354384167</v>
      </c>
      <c r="Z36" s="114">
        <f t="shared" si="1"/>
        <v>1008</v>
      </c>
      <c r="AA36" s="114">
        <f t="shared" si="2"/>
        <v>15613</v>
      </c>
      <c r="AB36" s="115">
        <f t="shared" si="3"/>
        <v>0.0645615833</v>
      </c>
      <c r="AC36" s="115">
        <f t="shared" si="4"/>
        <v>0.9354384167</v>
      </c>
      <c r="AD36" s="116"/>
      <c r="AE36" s="116"/>
      <c r="AF36" s="117"/>
      <c r="AG36" s="118" t="s">
        <v>74</v>
      </c>
      <c r="AH36" s="119">
        <v>1.0</v>
      </c>
      <c r="AI36" s="119">
        <v>15.0</v>
      </c>
      <c r="AJ36" s="119">
        <v>849.0</v>
      </c>
      <c r="AK36" s="120">
        <v>0.0</v>
      </c>
      <c r="AL36" s="119">
        <v>85.0</v>
      </c>
      <c r="AM36" s="119">
        <v>270.0</v>
      </c>
      <c r="AN36" s="119">
        <v>118.0</v>
      </c>
      <c r="AO36" s="146">
        <v>4283.0</v>
      </c>
      <c r="AP36" s="131">
        <v>1969.0</v>
      </c>
      <c r="AQ36" s="119">
        <v>90.0</v>
      </c>
      <c r="AR36" s="119">
        <v>19.0</v>
      </c>
      <c r="AS36" s="119">
        <v>494.0</v>
      </c>
      <c r="AT36" s="119">
        <v>379.0</v>
      </c>
      <c r="AU36" s="119">
        <v>344.0</v>
      </c>
      <c r="AV36" s="119">
        <v>379.0</v>
      </c>
      <c r="AW36" s="120">
        <v>15.0</v>
      </c>
      <c r="AX36" s="135"/>
      <c r="AY36" s="135"/>
      <c r="AZ36" s="136"/>
      <c r="BA36" s="136"/>
      <c r="BB36" s="116"/>
      <c r="BC36" s="116"/>
      <c r="BD36" s="116"/>
      <c r="BE36" s="116"/>
      <c r="BF36" s="116"/>
      <c r="BG36" s="116"/>
      <c r="BH36" s="116"/>
      <c r="BI36" s="116"/>
    </row>
    <row r="37" ht="15.75" customHeight="1">
      <c r="A37" s="112"/>
      <c r="B37" s="38" t="s">
        <v>75</v>
      </c>
      <c r="C37" s="269">
        <v>6.0</v>
      </c>
      <c r="D37" s="269">
        <v>10.0</v>
      </c>
      <c r="E37" s="269">
        <v>3.0</v>
      </c>
      <c r="F37" s="269"/>
      <c r="G37" s="269">
        <v>0.0</v>
      </c>
      <c r="H37" s="269">
        <v>0.0</v>
      </c>
      <c r="I37" s="269">
        <v>70.0</v>
      </c>
      <c r="J37" s="269">
        <v>4.0</v>
      </c>
      <c r="K37" s="269">
        <v>0.0</v>
      </c>
      <c r="L37" s="269">
        <v>22548.0</v>
      </c>
      <c r="M37" s="273">
        <v>45939.0</v>
      </c>
      <c r="N37" s="269">
        <v>6188.0</v>
      </c>
      <c r="O37" s="269">
        <v>189.0</v>
      </c>
      <c r="P37" s="269">
        <v>0.0</v>
      </c>
      <c r="Q37" s="270"/>
      <c r="R37" s="269">
        <v>0.0</v>
      </c>
      <c r="S37" s="270"/>
      <c r="T37" s="130">
        <f t="shared" si="5"/>
        <v>19</v>
      </c>
      <c r="U37" s="130">
        <f t="shared" si="6"/>
        <v>74</v>
      </c>
      <c r="V37" s="130">
        <f t="shared" si="7"/>
        <v>68487</v>
      </c>
      <c r="W37" s="130">
        <f t="shared" si="8"/>
        <v>6377</v>
      </c>
      <c r="X37" s="116">
        <f t="shared" si="9"/>
        <v>0.001497343423</v>
      </c>
      <c r="Y37" s="116">
        <f t="shared" si="10"/>
        <v>0.9985026566</v>
      </c>
      <c r="Z37" s="114">
        <f t="shared" si="1"/>
        <v>93</v>
      </c>
      <c r="AA37" s="114">
        <f t="shared" si="2"/>
        <v>62110</v>
      </c>
      <c r="AB37" s="151">
        <f t="shared" si="3"/>
        <v>0.001497343423</v>
      </c>
      <c r="AC37" s="151">
        <f t="shared" si="4"/>
        <v>0.9985026566</v>
      </c>
      <c r="AD37" s="116"/>
      <c r="AE37" s="116"/>
      <c r="AF37" s="117"/>
      <c r="AG37" s="118" t="s">
        <v>75</v>
      </c>
      <c r="AH37" s="119">
        <v>4.0</v>
      </c>
      <c r="AI37" s="119">
        <v>12.0</v>
      </c>
      <c r="AJ37" s="119">
        <v>1863.0</v>
      </c>
      <c r="AK37" s="120">
        <v>37.0</v>
      </c>
      <c r="AL37" s="119">
        <v>26.0</v>
      </c>
      <c r="AM37" s="119">
        <v>38.0</v>
      </c>
      <c r="AN37" s="119">
        <v>13.0</v>
      </c>
      <c r="AO37" s="146">
        <v>26665.0</v>
      </c>
      <c r="AP37" s="131">
        <v>15825.0</v>
      </c>
      <c r="AQ37" s="119">
        <v>2601.0</v>
      </c>
      <c r="AR37" s="119">
        <v>129.0</v>
      </c>
      <c r="AS37" s="119">
        <v>0.0</v>
      </c>
      <c r="AT37" s="119">
        <v>40.0</v>
      </c>
      <c r="AU37" s="119">
        <v>70.0</v>
      </c>
      <c r="AV37" s="119">
        <v>40.0</v>
      </c>
      <c r="AW37" s="120">
        <v>12.0</v>
      </c>
      <c r="AX37" s="120">
        <v>1251.0</v>
      </c>
      <c r="AY37" s="120">
        <v>56705.0</v>
      </c>
      <c r="AZ37" s="123">
        <v>0.02206154660082885</v>
      </c>
      <c r="BA37" s="123">
        <v>0.9779384533991712</v>
      </c>
      <c r="BB37" s="116"/>
      <c r="BC37" s="116"/>
      <c r="BD37" s="116"/>
      <c r="BE37" s="116"/>
      <c r="BF37" s="116"/>
      <c r="BG37" s="116"/>
      <c r="BH37" s="116"/>
      <c r="BI37" s="116"/>
    </row>
    <row r="38" ht="21.0" customHeight="1">
      <c r="A38" s="274"/>
      <c r="B38" s="275" t="s">
        <v>38</v>
      </c>
      <c r="C38" s="276">
        <f t="shared" ref="C38:W38" si="11">SUM(C6:C37)</f>
        <v>33650</v>
      </c>
      <c r="D38" s="276">
        <f t="shared" si="11"/>
        <v>42211</v>
      </c>
      <c r="E38" s="276">
        <f t="shared" si="11"/>
        <v>2009</v>
      </c>
      <c r="F38" s="276">
        <f t="shared" si="11"/>
        <v>0</v>
      </c>
      <c r="G38" s="276">
        <f t="shared" si="11"/>
        <v>9296</v>
      </c>
      <c r="H38" s="276">
        <f t="shared" si="11"/>
        <v>15242</v>
      </c>
      <c r="I38" s="276">
        <f t="shared" si="11"/>
        <v>4096</v>
      </c>
      <c r="J38" s="276">
        <f t="shared" si="11"/>
        <v>812</v>
      </c>
      <c r="K38" s="276">
        <f t="shared" si="11"/>
        <v>44</v>
      </c>
      <c r="L38" s="276">
        <f t="shared" si="11"/>
        <v>1798409</v>
      </c>
      <c r="M38" s="276">
        <f t="shared" si="11"/>
        <v>1634806</v>
      </c>
      <c r="N38" s="276">
        <f t="shared" si="11"/>
        <v>30271</v>
      </c>
      <c r="O38" s="276">
        <f t="shared" si="11"/>
        <v>64965</v>
      </c>
      <c r="P38" s="276">
        <f t="shared" si="11"/>
        <v>281169</v>
      </c>
      <c r="Q38" s="276">
        <f t="shared" si="11"/>
        <v>0</v>
      </c>
      <c r="R38" s="276">
        <f t="shared" si="11"/>
        <v>7202</v>
      </c>
      <c r="S38" s="276">
        <f t="shared" si="11"/>
        <v>0</v>
      </c>
      <c r="T38" s="155">
        <f t="shared" si="11"/>
        <v>87166</v>
      </c>
      <c r="U38" s="155">
        <f t="shared" si="11"/>
        <v>20194</v>
      </c>
      <c r="V38" s="155">
        <f t="shared" si="11"/>
        <v>3433215</v>
      </c>
      <c r="W38" s="155">
        <f t="shared" si="11"/>
        <v>383607</v>
      </c>
      <c r="X38" s="156">
        <f t="shared" si="9"/>
        <v>0.03520452465</v>
      </c>
      <c r="Y38" s="156">
        <f t="shared" si="10"/>
        <v>0.9647954754</v>
      </c>
      <c r="Z38" s="276">
        <f t="shared" ref="Z38:AA38" si="12">SUM(Z6:Z37)</f>
        <v>107360</v>
      </c>
      <c r="AA38" s="276">
        <f t="shared" si="12"/>
        <v>3049608</v>
      </c>
      <c r="AB38" s="277">
        <f t="shared" si="3"/>
        <v>0.03520452465</v>
      </c>
      <c r="AC38" s="278">
        <f t="shared" si="4"/>
        <v>0.9647954754</v>
      </c>
      <c r="AD38" s="158"/>
      <c r="AE38" s="158"/>
      <c r="AF38" s="159"/>
      <c r="AG38" s="160" t="s">
        <v>38</v>
      </c>
      <c r="AH38" s="154">
        <v>27858.0</v>
      </c>
      <c r="AI38" s="154">
        <v>19864.0</v>
      </c>
      <c r="AJ38" s="154">
        <v>86192.0</v>
      </c>
      <c r="AK38" s="154">
        <v>2167.0</v>
      </c>
      <c r="AL38" s="154">
        <v>8029.0</v>
      </c>
      <c r="AM38" s="154">
        <v>9161.0</v>
      </c>
      <c r="AN38" s="154">
        <v>2228.0</v>
      </c>
      <c r="AO38" s="161">
        <v>2139747.0</v>
      </c>
      <c r="AP38" s="154">
        <v>1176019.0</v>
      </c>
      <c r="AQ38" s="154">
        <v>29955.0</v>
      </c>
      <c r="AR38" s="154">
        <v>86911.0</v>
      </c>
      <c r="AS38" s="154">
        <v>202530.0</v>
      </c>
      <c r="AT38" s="154">
        <v>4449.0</v>
      </c>
      <c r="AU38" s="154">
        <v>4069.0</v>
      </c>
      <c r="AV38" s="154">
        <v>4449.0</v>
      </c>
      <c r="AW38" s="154">
        <v>19864.0</v>
      </c>
      <c r="AX38" s="135">
        <v>192716.0</v>
      </c>
      <c r="AY38" s="135">
        <v>4420325.0</v>
      </c>
      <c r="AZ38" s="136">
        <v>0.04359769926419437</v>
      </c>
      <c r="BA38" s="162">
        <v>0.9564023007358057</v>
      </c>
      <c r="BB38" s="158"/>
      <c r="BC38" s="158"/>
      <c r="BD38" s="158"/>
      <c r="BE38" s="158"/>
      <c r="BF38" s="158"/>
      <c r="BG38" s="158"/>
      <c r="BH38" s="158"/>
      <c r="BI38" s="158"/>
    </row>
    <row r="39" ht="15.75" customHeight="1">
      <c r="A39" s="164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16"/>
      <c r="Y39" s="116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4"/>
      <c r="AU39" s="164"/>
      <c r="AV39" s="164"/>
      <c r="AW39" s="164"/>
      <c r="AX39" s="164"/>
      <c r="AY39" s="164"/>
      <c r="AZ39" s="164"/>
      <c r="BA39" s="164"/>
      <c r="BB39" s="164"/>
      <c r="BC39" s="164"/>
      <c r="BD39" s="164"/>
      <c r="BE39" s="164"/>
      <c r="BF39" s="164"/>
      <c r="BG39" s="164"/>
      <c r="BH39" s="164"/>
      <c r="BI39" s="164"/>
    </row>
    <row r="40" ht="15.75" customHeight="1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BB40" s="164"/>
      <c r="BC40" s="164"/>
      <c r="BD40" s="164"/>
      <c r="BE40" s="164"/>
      <c r="BF40" s="164"/>
      <c r="BG40" s="164"/>
      <c r="BH40" s="164"/>
      <c r="BI40" s="164"/>
    </row>
    <row r="41" ht="15.75" customHeight="1">
      <c r="A41" s="164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64"/>
      <c r="BG41" s="164"/>
      <c r="BH41" s="164"/>
      <c r="BI41" s="164"/>
    </row>
    <row r="42" ht="15.75" customHeight="1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</row>
    <row r="43" ht="15.75" customHeight="1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64"/>
      <c r="BH43" s="164"/>
      <c r="BI43" s="164"/>
    </row>
    <row r="44" ht="15.75" customHeight="1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</row>
    <row r="45" ht="15.75" customHeight="1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</row>
    <row r="46" ht="15.75" customHeight="1">
      <c r="A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</row>
    <row r="47" ht="15.75" customHeight="1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</row>
    <row r="48" ht="15.75" customHeight="1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</row>
    <row r="49" ht="15.75" customHeight="1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</row>
    <row r="50" ht="15.75" customHeight="1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</row>
    <row r="51" ht="15.75" customHeight="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</row>
    <row r="52" ht="15.75" customHeight="1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</row>
    <row r="53" ht="15.75" customHeight="1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</row>
    <row r="54" ht="15.75" customHeight="1">
      <c r="A54" s="165"/>
      <c r="B54" s="165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</row>
    <row r="55" ht="15.75" customHeight="1">
      <c r="A55" s="164"/>
      <c r="B55" s="166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</row>
    <row r="56" ht="15.75" customHeight="1">
      <c r="A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</row>
    <row r="57" ht="15.75" customHeight="1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</row>
    <row r="58" ht="15.75" customHeight="1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</row>
    <row r="59" ht="15.75" customHeight="1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</row>
    <row r="60" ht="15.75" customHeight="1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</row>
    <row r="61" ht="15.75" customHeight="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</row>
    <row r="62" ht="15.75" customHeight="1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</row>
    <row r="63" ht="15.75" customHeight="1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</row>
    <row r="64" ht="15.75" customHeight="1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</row>
    <row r="65" ht="15.75" customHeight="1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</row>
    <row r="66" ht="15.75" customHeight="1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</row>
    <row r="67" ht="15.75" customHeight="1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</row>
    <row r="68" ht="15.75" customHeight="1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</row>
    <row r="69" ht="15.75" customHeight="1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</row>
    <row r="70" ht="15.75" customHeight="1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</row>
    <row r="71" ht="15.75" customHeight="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</row>
    <row r="72" ht="15.75" customHeight="1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</row>
    <row r="73" ht="15.75" customHeight="1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</row>
    <row r="74" ht="15.75" customHeight="1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</row>
    <row r="75" ht="15.75" customHeight="1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</row>
    <row r="76" ht="15.75" customHeight="1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</row>
    <row r="77" ht="15.75" customHeight="1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</row>
    <row r="78" ht="15.75" customHeight="1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</row>
    <row r="79" ht="15.75" customHeight="1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</row>
    <row r="80" ht="15.75" customHeight="1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</row>
    <row r="81" ht="15.75" customHeight="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</row>
    <row r="82" ht="15.75" customHeight="1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</row>
    <row r="83" ht="15.75" customHeight="1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  <c r="BF83" s="164"/>
      <c r="BG83" s="164"/>
      <c r="BH83" s="164"/>
      <c r="BI83" s="164"/>
    </row>
    <row r="84" ht="15.75" customHeight="1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  <c r="BH84" s="164"/>
      <c r="BI84" s="164"/>
    </row>
    <row r="85" ht="15.75" customHeight="1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F85" s="164"/>
      <c r="BG85" s="164"/>
      <c r="BH85" s="164"/>
      <c r="BI85" s="164"/>
    </row>
    <row r="86" ht="15.75" customHeight="1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</row>
    <row r="87" ht="15.75" customHeight="1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  <c r="BH87" s="164"/>
      <c r="BI87" s="164"/>
    </row>
    <row r="88" ht="15.75" customHeight="1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  <c r="BF88" s="164"/>
      <c r="BG88" s="164"/>
      <c r="BH88" s="164"/>
      <c r="BI88" s="164"/>
    </row>
    <row r="89" ht="15.75" customHeight="1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4"/>
      <c r="BD89" s="164"/>
      <c r="BE89" s="164"/>
      <c r="BF89" s="164"/>
      <c r="BG89" s="164"/>
      <c r="BH89" s="164"/>
      <c r="BI89" s="164"/>
    </row>
    <row r="90" ht="15.75" customHeight="1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  <c r="BH90" s="164"/>
      <c r="BI90" s="164"/>
    </row>
    <row r="91" ht="15.75" customHeight="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  <c r="AS91" s="164"/>
      <c r="AT91" s="164"/>
      <c r="AU91" s="164"/>
      <c r="AV91" s="164"/>
      <c r="AW91" s="164"/>
      <c r="AX91" s="164"/>
      <c r="AY91" s="164"/>
      <c r="AZ91" s="164"/>
      <c r="BA91" s="164"/>
      <c r="BB91" s="164"/>
      <c r="BC91" s="164"/>
      <c r="BD91" s="164"/>
      <c r="BE91" s="164"/>
      <c r="BF91" s="164"/>
      <c r="BG91" s="164"/>
      <c r="BH91" s="164"/>
      <c r="BI91" s="164"/>
    </row>
    <row r="92" ht="15.75" customHeight="1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164"/>
      <c r="BB92" s="164"/>
      <c r="BC92" s="164"/>
      <c r="BD92" s="164"/>
      <c r="BE92" s="164"/>
      <c r="BF92" s="164"/>
      <c r="BG92" s="164"/>
      <c r="BH92" s="164"/>
      <c r="BI92" s="164"/>
    </row>
    <row r="93" ht="15.75" customHeight="1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  <c r="AR93" s="164"/>
      <c r="AS93" s="164"/>
      <c r="AT93" s="164"/>
      <c r="AU93" s="164"/>
      <c r="AV93" s="164"/>
      <c r="AW93" s="164"/>
      <c r="AX93" s="164"/>
      <c r="AY93" s="164"/>
      <c r="AZ93" s="164"/>
      <c r="BA93" s="164"/>
      <c r="BB93" s="164"/>
      <c r="BC93" s="164"/>
      <c r="BD93" s="164"/>
      <c r="BE93" s="164"/>
      <c r="BF93" s="164"/>
      <c r="BG93" s="164"/>
      <c r="BH93" s="164"/>
      <c r="BI93" s="164"/>
    </row>
    <row r="94" ht="15.75" customHeight="1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  <c r="AO94" s="164"/>
      <c r="AP94" s="164"/>
      <c r="AQ94" s="164"/>
      <c r="AR94" s="164"/>
      <c r="AS94" s="164"/>
      <c r="AT94" s="164"/>
      <c r="AU94" s="164"/>
      <c r="AV94" s="164"/>
      <c r="AW94" s="164"/>
      <c r="AX94" s="164"/>
      <c r="AY94" s="164"/>
      <c r="AZ94" s="164"/>
      <c r="BA94" s="164"/>
      <c r="BB94" s="164"/>
      <c r="BC94" s="164"/>
      <c r="BD94" s="164"/>
      <c r="BE94" s="164"/>
      <c r="BF94" s="164"/>
      <c r="BG94" s="164"/>
      <c r="BH94" s="164"/>
      <c r="BI94" s="164"/>
    </row>
    <row r="95" ht="15.75" customHeight="1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64"/>
      <c r="AO95" s="164"/>
      <c r="AP95" s="164"/>
      <c r="AQ95" s="164"/>
      <c r="AR95" s="164"/>
      <c r="AS95" s="164"/>
      <c r="AT95" s="164"/>
      <c r="AU95" s="164"/>
      <c r="AV95" s="164"/>
      <c r="AW95" s="164"/>
      <c r="AX95" s="164"/>
      <c r="AY95" s="164"/>
      <c r="AZ95" s="164"/>
      <c r="BA95" s="164"/>
      <c r="BB95" s="164"/>
      <c r="BC95" s="164"/>
      <c r="BD95" s="164"/>
      <c r="BE95" s="164"/>
      <c r="BF95" s="164"/>
      <c r="BG95" s="164"/>
      <c r="BH95" s="164"/>
      <c r="BI95" s="164"/>
    </row>
    <row r="96" ht="15.75" customHeight="1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  <c r="AR96" s="164"/>
      <c r="AS96" s="164"/>
      <c r="AT96" s="164"/>
      <c r="AU96" s="164"/>
      <c r="AV96" s="164"/>
      <c r="AW96" s="164"/>
      <c r="AX96" s="164"/>
      <c r="AY96" s="164"/>
      <c r="AZ96" s="164"/>
      <c r="BA96" s="164"/>
      <c r="BB96" s="164"/>
      <c r="BC96" s="164"/>
      <c r="BD96" s="164"/>
      <c r="BE96" s="164"/>
      <c r="BF96" s="164"/>
      <c r="BG96" s="164"/>
      <c r="BH96" s="164"/>
      <c r="BI96" s="164"/>
    </row>
    <row r="97" ht="15.75" customHeight="1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</row>
    <row r="98" ht="15.75" customHeight="1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  <c r="AM98" s="164"/>
      <c r="AN98" s="164"/>
      <c r="AO98" s="164"/>
      <c r="AP98" s="164"/>
      <c r="AQ98" s="164"/>
      <c r="AR98" s="164"/>
      <c r="AS98" s="164"/>
      <c r="AT98" s="164"/>
      <c r="AU98" s="164"/>
      <c r="AV98" s="164"/>
      <c r="AW98" s="164"/>
      <c r="AX98" s="164"/>
      <c r="AY98" s="164"/>
      <c r="AZ98" s="164"/>
      <c r="BA98" s="164"/>
      <c r="BB98" s="164"/>
      <c r="BC98" s="164"/>
      <c r="BD98" s="164"/>
      <c r="BE98" s="164"/>
      <c r="BF98" s="164"/>
      <c r="BG98" s="164"/>
      <c r="BH98" s="164"/>
      <c r="BI98" s="164"/>
    </row>
    <row r="99" ht="15.75" customHeight="1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  <c r="AO99" s="164"/>
      <c r="AP99" s="164"/>
      <c r="AQ99" s="164"/>
      <c r="AR99" s="164"/>
      <c r="AS99" s="164"/>
      <c r="AT99" s="164"/>
      <c r="AU99" s="164"/>
      <c r="AV99" s="164"/>
      <c r="AW99" s="164"/>
      <c r="AX99" s="164"/>
      <c r="AY99" s="164"/>
      <c r="AZ99" s="164"/>
      <c r="BA99" s="164"/>
      <c r="BB99" s="164"/>
      <c r="BC99" s="164"/>
      <c r="BD99" s="164"/>
      <c r="BE99" s="164"/>
      <c r="BF99" s="164"/>
      <c r="BG99" s="164"/>
      <c r="BH99" s="164"/>
      <c r="BI99" s="164"/>
    </row>
    <row r="100" ht="15.75" customHeight="1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  <c r="AO100" s="164"/>
      <c r="AP100" s="164"/>
      <c r="AQ100" s="164"/>
      <c r="AR100" s="164"/>
      <c r="AS100" s="164"/>
      <c r="AT100" s="164"/>
      <c r="AU100" s="164"/>
      <c r="AV100" s="164"/>
      <c r="AW100" s="164"/>
      <c r="AX100" s="164"/>
      <c r="AY100" s="164"/>
      <c r="AZ100" s="164"/>
      <c r="BA100" s="164"/>
      <c r="BB100" s="164"/>
      <c r="BC100" s="164"/>
      <c r="BD100" s="164"/>
      <c r="BE100" s="164"/>
      <c r="BF100" s="164"/>
      <c r="BG100" s="164"/>
      <c r="BH100" s="164"/>
      <c r="BI100" s="164"/>
    </row>
    <row r="101" ht="15.75" customHeight="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  <c r="AO101" s="164"/>
      <c r="AP101" s="164"/>
      <c r="AQ101" s="164"/>
      <c r="AR101" s="164"/>
      <c r="AS101" s="164"/>
      <c r="AT101" s="164"/>
      <c r="AU101" s="164"/>
      <c r="AV101" s="164"/>
      <c r="AW101" s="164"/>
      <c r="AX101" s="164"/>
      <c r="AY101" s="164"/>
      <c r="AZ101" s="164"/>
      <c r="BA101" s="164"/>
      <c r="BB101" s="164"/>
      <c r="BC101" s="164"/>
      <c r="BD101" s="164"/>
      <c r="BE101" s="164"/>
      <c r="BF101" s="164"/>
      <c r="BG101" s="164"/>
      <c r="BH101" s="164"/>
      <c r="BI101" s="164"/>
    </row>
    <row r="102" ht="15.75" customHeight="1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  <c r="AO102" s="164"/>
      <c r="AP102" s="164"/>
      <c r="AQ102" s="164"/>
      <c r="AR102" s="164"/>
      <c r="AS102" s="164"/>
      <c r="AT102" s="164"/>
      <c r="AU102" s="164"/>
      <c r="AV102" s="164"/>
      <c r="AW102" s="164"/>
      <c r="AX102" s="164"/>
      <c r="AY102" s="164"/>
      <c r="AZ102" s="164"/>
      <c r="BA102" s="164"/>
      <c r="BB102" s="164"/>
      <c r="BC102" s="164"/>
      <c r="BD102" s="164"/>
      <c r="BE102" s="164"/>
      <c r="BF102" s="164"/>
      <c r="BG102" s="164"/>
      <c r="BH102" s="164"/>
      <c r="BI102" s="164"/>
    </row>
    <row r="103" ht="15.75" customHeight="1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/>
      <c r="AL103" s="164"/>
      <c r="AM103" s="164"/>
      <c r="AN103" s="164"/>
      <c r="AO103" s="164"/>
      <c r="AP103" s="164"/>
      <c r="AQ103" s="164"/>
      <c r="AR103" s="164"/>
      <c r="AS103" s="164"/>
      <c r="AT103" s="164"/>
      <c r="AU103" s="164"/>
      <c r="AV103" s="164"/>
      <c r="AW103" s="164"/>
      <c r="AX103" s="164"/>
      <c r="AY103" s="164"/>
      <c r="AZ103" s="164"/>
      <c r="BA103" s="164"/>
      <c r="BB103" s="164"/>
      <c r="BC103" s="164"/>
      <c r="BD103" s="164"/>
      <c r="BE103" s="164"/>
      <c r="BF103" s="164"/>
      <c r="BG103" s="164"/>
      <c r="BH103" s="164"/>
      <c r="BI103" s="164"/>
    </row>
    <row r="104" ht="15.75" customHeight="1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4"/>
      <c r="AT104" s="164"/>
      <c r="AU104" s="164"/>
      <c r="AV104" s="164"/>
      <c r="AW104" s="164"/>
      <c r="AX104" s="164"/>
      <c r="AY104" s="164"/>
      <c r="AZ104" s="164"/>
      <c r="BA104" s="164"/>
      <c r="BB104" s="164"/>
      <c r="BC104" s="164"/>
      <c r="BD104" s="164"/>
      <c r="BE104" s="164"/>
      <c r="BF104" s="164"/>
      <c r="BG104" s="164"/>
      <c r="BH104" s="164"/>
      <c r="BI104" s="164"/>
    </row>
    <row r="105" ht="15.75" customHeight="1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4"/>
      <c r="AT105" s="164"/>
      <c r="AU105" s="164"/>
      <c r="AV105" s="164"/>
      <c r="AW105" s="164"/>
      <c r="AX105" s="164"/>
      <c r="AY105" s="164"/>
      <c r="AZ105" s="164"/>
      <c r="BA105" s="164"/>
      <c r="BB105" s="164"/>
      <c r="BC105" s="164"/>
      <c r="BD105" s="164"/>
      <c r="BE105" s="164"/>
      <c r="BF105" s="164"/>
      <c r="BG105" s="164"/>
      <c r="BH105" s="164"/>
      <c r="BI105" s="164"/>
    </row>
    <row r="106" ht="15.75" customHeight="1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4"/>
      <c r="AT106" s="164"/>
      <c r="AU106" s="164"/>
      <c r="AV106" s="164"/>
      <c r="AW106" s="164"/>
      <c r="AX106" s="164"/>
      <c r="AY106" s="164"/>
      <c r="AZ106" s="164"/>
      <c r="BA106" s="164"/>
      <c r="BB106" s="164"/>
      <c r="BC106" s="164"/>
      <c r="BD106" s="164"/>
      <c r="BE106" s="164"/>
      <c r="BF106" s="164"/>
      <c r="BG106" s="164"/>
      <c r="BH106" s="164"/>
      <c r="BI106" s="164"/>
    </row>
    <row r="107" ht="15.75" customHeight="1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4"/>
      <c r="AT107" s="164"/>
      <c r="AU107" s="164"/>
      <c r="AV107" s="164"/>
      <c r="AW107" s="164"/>
      <c r="AX107" s="164"/>
      <c r="AY107" s="164"/>
      <c r="AZ107" s="164"/>
      <c r="BA107" s="164"/>
      <c r="BB107" s="164"/>
      <c r="BC107" s="164"/>
      <c r="BD107" s="164"/>
      <c r="BE107" s="164"/>
      <c r="BF107" s="164"/>
      <c r="BG107" s="164"/>
      <c r="BH107" s="164"/>
      <c r="BI107" s="164"/>
    </row>
    <row r="108" ht="15.75" customHeight="1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  <c r="AR108" s="164"/>
      <c r="AS108" s="164"/>
      <c r="AT108" s="164"/>
      <c r="AU108" s="164"/>
      <c r="AV108" s="164"/>
      <c r="AW108" s="164"/>
      <c r="AX108" s="164"/>
      <c r="AY108" s="164"/>
      <c r="AZ108" s="164"/>
      <c r="BA108" s="164"/>
      <c r="BB108" s="164"/>
      <c r="BC108" s="164"/>
      <c r="BD108" s="164"/>
      <c r="BE108" s="164"/>
      <c r="BF108" s="164"/>
      <c r="BG108" s="164"/>
      <c r="BH108" s="164"/>
      <c r="BI108" s="164"/>
    </row>
    <row r="109" ht="15.75" customHeight="1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  <c r="AM109" s="164"/>
      <c r="AN109" s="164"/>
      <c r="AO109" s="164"/>
      <c r="AP109" s="164"/>
      <c r="AQ109" s="164"/>
      <c r="AR109" s="164"/>
      <c r="AS109" s="164"/>
      <c r="AT109" s="164"/>
      <c r="AU109" s="164"/>
      <c r="AV109" s="164"/>
      <c r="AW109" s="164"/>
      <c r="AX109" s="164"/>
      <c r="AY109" s="164"/>
      <c r="AZ109" s="164"/>
      <c r="BA109" s="164"/>
      <c r="BB109" s="164"/>
      <c r="BC109" s="164"/>
      <c r="BD109" s="164"/>
      <c r="BE109" s="164"/>
      <c r="BF109" s="164"/>
      <c r="BG109" s="164"/>
      <c r="BH109" s="164"/>
      <c r="BI109" s="164"/>
    </row>
    <row r="110" ht="15.75" customHeight="1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64"/>
      <c r="AO110" s="164"/>
      <c r="AP110" s="164"/>
      <c r="AQ110" s="164"/>
      <c r="AR110" s="164"/>
      <c r="AS110" s="164"/>
      <c r="AT110" s="164"/>
      <c r="AU110" s="164"/>
      <c r="AV110" s="164"/>
      <c r="AW110" s="164"/>
      <c r="AX110" s="164"/>
      <c r="AY110" s="164"/>
      <c r="AZ110" s="164"/>
      <c r="BA110" s="164"/>
      <c r="BB110" s="164"/>
      <c r="BC110" s="164"/>
      <c r="BD110" s="164"/>
      <c r="BE110" s="164"/>
      <c r="BF110" s="164"/>
      <c r="BG110" s="164"/>
      <c r="BH110" s="164"/>
      <c r="BI110" s="164"/>
    </row>
    <row r="111" ht="15.75" customHeight="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  <c r="AM111" s="164"/>
      <c r="AN111" s="164"/>
      <c r="AO111" s="164"/>
      <c r="AP111" s="164"/>
      <c r="AQ111" s="164"/>
      <c r="AR111" s="164"/>
      <c r="AS111" s="164"/>
      <c r="AT111" s="164"/>
      <c r="AU111" s="164"/>
      <c r="AV111" s="164"/>
      <c r="AW111" s="164"/>
      <c r="AX111" s="164"/>
      <c r="AY111" s="164"/>
      <c r="AZ111" s="164"/>
      <c r="BA111" s="164"/>
      <c r="BB111" s="164"/>
      <c r="BC111" s="164"/>
      <c r="BD111" s="164"/>
      <c r="BE111" s="164"/>
      <c r="BF111" s="164"/>
      <c r="BG111" s="164"/>
      <c r="BH111" s="164"/>
      <c r="BI111" s="164"/>
    </row>
    <row r="112" ht="15.75" customHeight="1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64"/>
      <c r="AO112" s="164"/>
      <c r="AP112" s="164"/>
      <c r="AQ112" s="164"/>
      <c r="AR112" s="164"/>
      <c r="AS112" s="164"/>
      <c r="AT112" s="164"/>
      <c r="AU112" s="164"/>
      <c r="AV112" s="164"/>
      <c r="AW112" s="164"/>
      <c r="AX112" s="164"/>
      <c r="AY112" s="164"/>
      <c r="AZ112" s="164"/>
      <c r="BA112" s="164"/>
      <c r="BB112" s="164"/>
      <c r="BC112" s="164"/>
      <c r="BD112" s="164"/>
      <c r="BE112" s="164"/>
      <c r="BF112" s="164"/>
      <c r="BG112" s="164"/>
      <c r="BH112" s="164"/>
      <c r="BI112" s="164"/>
    </row>
    <row r="113" ht="15.75" customHeight="1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  <c r="AM113" s="164"/>
      <c r="AN113" s="164"/>
      <c r="AO113" s="164"/>
      <c r="AP113" s="164"/>
      <c r="AQ113" s="164"/>
      <c r="AR113" s="164"/>
      <c r="AS113" s="164"/>
      <c r="AT113" s="164"/>
      <c r="AU113" s="164"/>
      <c r="AV113" s="164"/>
      <c r="AW113" s="164"/>
      <c r="AX113" s="164"/>
      <c r="AY113" s="164"/>
      <c r="AZ113" s="164"/>
      <c r="BA113" s="164"/>
      <c r="BB113" s="164"/>
      <c r="BC113" s="164"/>
      <c r="BD113" s="164"/>
      <c r="BE113" s="164"/>
      <c r="BF113" s="164"/>
      <c r="BG113" s="164"/>
      <c r="BH113" s="164"/>
      <c r="BI113" s="164"/>
    </row>
    <row r="114" ht="15.75" customHeight="1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  <c r="AM114" s="164"/>
      <c r="AN114" s="164"/>
      <c r="AO114" s="164"/>
      <c r="AP114" s="164"/>
      <c r="AQ114" s="164"/>
      <c r="AR114" s="164"/>
      <c r="AS114" s="164"/>
      <c r="AT114" s="164"/>
      <c r="AU114" s="164"/>
      <c r="AV114" s="164"/>
      <c r="AW114" s="164"/>
      <c r="AX114" s="164"/>
      <c r="AY114" s="164"/>
      <c r="AZ114" s="164"/>
      <c r="BA114" s="164"/>
      <c r="BB114" s="164"/>
      <c r="BC114" s="164"/>
      <c r="BD114" s="164"/>
      <c r="BE114" s="164"/>
      <c r="BF114" s="164"/>
      <c r="BG114" s="164"/>
      <c r="BH114" s="164"/>
      <c r="BI114" s="164"/>
    </row>
    <row r="115" ht="15.75" customHeight="1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  <c r="AM115" s="164"/>
      <c r="AN115" s="164"/>
      <c r="AO115" s="164"/>
      <c r="AP115" s="164"/>
      <c r="AQ115" s="164"/>
      <c r="AR115" s="164"/>
      <c r="AS115" s="164"/>
      <c r="AT115" s="164"/>
      <c r="AU115" s="164"/>
      <c r="AV115" s="164"/>
      <c r="AW115" s="164"/>
      <c r="AX115" s="164"/>
      <c r="AY115" s="164"/>
      <c r="AZ115" s="164"/>
      <c r="BA115" s="164"/>
      <c r="BB115" s="164"/>
      <c r="BC115" s="164"/>
      <c r="BD115" s="164"/>
      <c r="BE115" s="164"/>
      <c r="BF115" s="164"/>
      <c r="BG115" s="164"/>
      <c r="BH115" s="164"/>
      <c r="BI115" s="164"/>
    </row>
    <row r="116" ht="15.75" customHeight="1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  <c r="AM116" s="164"/>
      <c r="AN116" s="164"/>
      <c r="AO116" s="164"/>
      <c r="AP116" s="164"/>
      <c r="AQ116" s="164"/>
      <c r="AR116" s="164"/>
      <c r="AS116" s="164"/>
      <c r="AT116" s="164"/>
      <c r="AU116" s="164"/>
      <c r="AV116" s="164"/>
      <c r="AW116" s="164"/>
      <c r="AX116" s="164"/>
      <c r="AY116" s="164"/>
      <c r="AZ116" s="164"/>
      <c r="BA116" s="164"/>
      <c r="BB116" s="164"/>
      <c r="BC116" s="164"/>
      <c r="BD116" s="164"/>
      <c r="BE116" s="164"/>
      <c r="BF116" s="164"/>
      <c r="BG116" s="164"/>
      <c r="BH116" s="164"/>
      <c r="BI116" s="164"/>
    </row>
    <row r="117" ht="15.75" customHeight="1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  <c r="AJ117" s="164"/>
      <c r="AK117" s="164"/>
      <c r="AL117" s="164"/>
      <c r="AM117" s="164"/>
      <c r="AN117" s="164"/>
      <c r="AO117" s="164"/>
      <c r="AP117" s="164"/>
      <c r="AQ117" s="164"/>
      <c r="AR117" s="164"/>
      <c r="AS117" s="164"/>
      <c r="AT117" s="164"/>
      <c r="AU117" s="164"/>
      <c r="AV117" s="164"/>
      <c r="AW117" s="164"/>
      <c r="AX117" s="164"/>
      <c r="AY117" s="164"/>
      <c r="AZ117" s="164"/>
      <c r="BA117" s="164"/>
      <c r="BB117" s="164"/>
      <c r="BC117" s="164"/>
      <c r="BD117" s="164"/>
      <c r="BE117" s="164"/>
      <c r="BF117" s="164"/>
      <c r="BG117" s="164"/>
      <c r="BH117" s="164"/>
      <c r="BI117" s="164"/>
    </row>
    <row r="118" ht="15.75" customHeight="1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64"/>
      <c r="AJ118" s="164"/>
      <c r="AK118" s="164"/>
      <c r="AL118" s="164"/>
      <c r="AM118" s="164"/>
      <c r="AN118" s="164"/>
      <c r="AO118" s="164"/>
      <c r="AP118" s="164"/>
      <c r="AQ118" s="164"/>
      <c r="AR118" s="164"/>
      <c r="AS118" s="164"/>
      <c r="AT118" s="164"/>
      <c r="AU118" s="164"/>
      <c r="AV118" s="164"/>
      <c r="AW118" s="164"/>
      <c r="AX118" s="164"/>
      <c r="AY118" s="164"/>
      <c r="AZ118" s="164"/>
      <c r="BA118" s="164"/>
      <c r="BB118" s="164"/>
      <c r="BC118" s="164"/>
      <c r="BD118" s="164"/>
      <c r="BE118" s="164"/>
      <c r="BF118" s="164"/>
      <c r="BG118" s="164"/>
      <c r="BH118" s="164"/>
      <c r="BI118" s="164"/>
    </row>
    <row r="119" ht="15.75" customHeight="1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64"/>
      <c r="AK119" s="164"/>
      <c r="AL119" s="164"/>
      <c r="AM119" s="164"/>
      <c r="AN119" s="164"/>
      <c r="AO119" s="164"/>
      <c r="AP119" s="164"/>
      <c r="AQ119" s="164"/>
      <c r="AR119" s="164"/>
      <c r="AS119" s="164"/>
      <c r="AT119" s="164"/>
      <c r="AU119" s="164"/>
      <c r="AV119" s="164"/>
      <c r="AW119" s="164"/>
      <c r="AX119" s="164"/>
      <c r="AY119" s="164"/>
      <c r="AZ119" s="164"/>
      <c r="BA119" s="164"/>
      <c r="BB119" s="164"/>
      <c r="BC119" s="164"/>
      <c r="BD119" s="164"/>
      <c r="BE119" s="164"/>
      <c r="BF119" s="164"/>
      <c r="BG119" s="164"/>
      <c r="BH119" s="164"/>
      <c r="BI119" s="164"/>
    </row>
    <row r="120" ht="15.75" customHeight="1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  <c r="AO120" s="164"/>
      <c r="AP120" s="164"/>
      <c r="AQ120" s="164"/>
      <c r="AR120" s="164"/>
      <c r="AS120" s="164"/>
      <c r="AT120" s="164"/>
      <c r="AU120" s="164"/>
      <c r="AV120" s="164"/>
      <c r="AW120" s="164"/>
      <c r="AX120" s="164"/>
      <c r="AY120" s="164"/>
      <c r="AZ120" s="164"/>
      <c r="BA120" s="164"/>
      <c r="BB120" s="164"/>
      <c r="BC120" s="164"/>
      <c r="BD120" s="164"/>
      <c r="BE120" s="164"/>
      <c r="BF120" s="164"/>
      <c r="BG120" s="164"/>
      <c r="BH120" s="164"/>
      <c r="BI120" s="164"/>
    </row>
    <row r="121" ht="15.75" customHeight="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  <c r="AH121" s="164"/>
      <c r="AI121" s="164"/>
      <c r="AJ121" s="164"/>
      <c r="AK121" s="164"/>
      <c r="AL121" s="164"/>
      <c r="AM121" s="164"/>
      <c r="AN121" s="164"/>
      <c r="AO121" s="164"/>
      <c r="AP121" s="164"/>
      <c r="AQ121" s="164"/>
      <c r="AR121" s="164"/>
      <c r="AS121" s="164"/>
      <c r="AT121" s="164"/>
      <c r="AU121" s="164"/>
      <c r="AV121" s="164"/>
      <c r="AW121" s="164"/>
      <c r="AX121" s="164"/>
      <c r="AY121" s="164"/>
      <c r="AZ121" s="164"/>
      <c r="BA121" s="164"/>
      <c r="BB121" s="164"/>
      <c r="BC121" s="164"/>
      <c r="BD121" s="164"/>
      <c r="BE121" s="164"/>
      <c r="BF121" s="164"/>
      <c r="BG121" s="164"/>
      <c r="BH121" s="164"/>
      <c r="BI121" s="164"/>
    </row>
    <row r="122" ht="15.75" customHeight="1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64"/>
      <c r="AM122" s="164"/>
      <c r="AN122" s="164"/>
      <c r="AO122" s="164"/>
      <c r="AP122" s="164"/>
      <c r="AQ122" s="164"/>
      <c r="AR122" s="164"/>
      <c r="AS122" s="164"/>
      <c r="AT122" s="164"/>
      <c r="AU122" s="164"/>
      <c r="AV122" s="164"/>
      <c r="AW122" s="164"/>
      <c r="AX122" s="164"/>
      <c r="AY122" s="164"/>
      <c r="AZ122" s="164"/>
      <c r="BA122" s="164"/>
      <c r="BB122" s="164"/>
      <c r="BC122" s="164"/>
      <c r="BD122" s="164"/>
      <c r="BE122" s="164"/>
      <c r="BF122" s="164"/>
      <c r="BG122" s="164"/>
      <c r="BH122" s="164"/>
      <c r="BI122" s="164"/>
    </row>
    <row r="123" ht="15.75" customHeight="1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64"/>
      <c r="AJ123" s="164"/>
      <c r="AK123" s="164"/>
      <c r="AL123" s="164"/>
      <c r="AM123" s="164"/>
      <c r="AN123" s="164"/>
      <c r="AO123" s="164"/>
      <c r="AP123" s="164"/>
      <c r="AQ123" s="164"/>
      <c r="AR123" s="164"/>
      <c r="AS123" s="164"/>
      <c r="AT123" s="164"/>
      <c r="AU123" s="164"/>
      <c r="AV123" s="164"/>
      <c r="AW123" s="164"/>
      <c r="AX123" s="164"/>
      <c r="AY123" s="164"/>
      <c r="AZ123" s="164"/>
      <c r="BA123" s="164"/>
      <c r="BB123" s="164"/>
      <c r="BC123" s="164"/>
      <c r="BD123" s="164"/>
      <c r="BE123" s="164"/>
      <c r="BF123" s="164"/>
      <c r="BG123" s="164"/>
      <c r="BH123" s="164"/>
      <c r="BI123" s="164"/>
    </row>
    <row r="124" ht="15.75" customHeight="1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164"/>
      <c r="AJ124" s="164"/>
      <c r="AK124" s="164"/>
      <c r="AL124" s="164"/>
      <c r="AM124" s="164"/>
      <c r="AN124" s="164"/>
      <c r="AO124" s="164"/>
      <c r="AP124" s="164"/>
      <c r="AQ124" s="164"/>
      <c r="AR124" s="164"/>
      <c r="AS124" s="164"/>
      <c r="AT124" s="164"/>
      <c r="AU124" s="164"/>
      <c r="AV124" s="164"/>
      <c r="AW124" s="164"/>
      <c r="AX124" s="164"/>
      <c r="AY124" s="164"/>
      <c r="AZ124" s="164"/>
      <c r="BA124" s="164"/>
      <c r="BB124" s="164"/>
      <c r="BC124" s="164"/>
      <c r="BD124" s="164"/>
      <c r="BE124" s="164"/>
      <c r="BF124" s="164"/>
      <c r="BG124" s="164"/>
      <c r="BH124" s="164"/>
      <c r="BI124" s="164"/>
    </row>
    <row r="125" ht="15.75" customHeight="1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  <c r="AH125" s="164"/>
      <c r="AI125" s="164"/>
      <c r="AJ125" s="164"/>
      <c r="AK125" s="164"/>
      <c r="AL125" s="164"/>
      <c r="AM125" s="164"/>
      <c r="AN125" s="164"/>
      <c r="AO125" s="164"/>
      <c r="AP125" s="164"/>
      <c r="AQ125" s="164"/>
      <c r="AR125" s="164"/>
      <c r="AS125" s="164"/>
      <c r="AT125" s="164"/>
      <c r="AU125" s="164"/>
      <c r="AV125" s="164"/>
      <c r="AW125" s="164"/>
      <c r="AX125" s="164"/>
      <c r="AY125" s="164"/>
      <c r="AZ125" s="164"/>
      <c r="BA125" s="164"/>
      <c r="BB125" s="164"/>
      <c r="BC125" s="164"/>
      <c r="BD125" s="164"/>
      <c r="BE125" s="164"/>
      <c r="BF125" s="164"/>
      <c r="BG125" s="164"/>
      <c r="BH125" s="164"/>
      <c r="BI125" s="164"/>
    </row>
    <row r="126" ht="15.75" customHeight="1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64"/>
      <c r="AJ126" s="164"/>
      <c r="AK126" s="164"/>
      <c r="AL126" s="164"/>
      <c r="AM126" s="164"/>
      <c r="AN126" s="164"/>
      <c r="AO126" s="164"/>
      <c r="AP126" s="164"/>
      <c r="AQ126" s="164"/>
      <c r="AR126" s="164"/>
      <c r="AS126" s="164"/>
      <c r="AT126" s="164"/>
      <c r="AU126" s="164"/>
      <c r="AV126" s="164"/>
      <c r="AW126" s="164"/>
      <c r="AX126" s="164"/>
      <c r="AY126" s="164"/>
      <c r="AZ126" s="164"/>
      <c r="BA126" s="164"/>
      <c r="BB126" s="164"/>
      <c r="BC126" s="164"/>
      <c r="BD126" s="164"/>
      <c r="BE126" s="164"/>
      <c r="BF126" s="164"/>
      <c r="BG126" s="164"/>
      <c r="BH126" s="164"/>
      <c r="BI126" s="164"/>
    </row>
    <row r="127" ht="15.75" customHeight="1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  <c r="AH127" s="164"/>
      <c r="AI127" s="164"/>
      <c r="AJ127" s="164"/>
      <c r="AK127" s="164"/>
      <c r="AL127" s="164"/>
      <c r="AM127" s="164"/>
      <c r="AN127" s="164"/>
      <c r="AO127" s="164"/>
      <c r="AP127" s="164"/>
      <c r="AQ127" s="164"/>
      <c r="AR127" s="164"/>
      <c r="AS127" s="164"/>
      <c r="AT127" s="164"/>
      <c r="AU127" s="164"/>
      <c r="AV127" s="164"/>
      <c r="AW127" s="164"/>
      <c r="AX127" s="164"/>
      <c r="AY127" s="164"/>
      <c r="AZ127" s="164"/>
      <c r="BA127" s="164"/>
      <c r="BB127" s="164"/>
      <c r="BC127" s="164"/>
      <c r="BD127" s="164"/>
      <c r="BE127" s="164"/>
      <c r="BF127" s="164"/>
      <c r="BG127" s="164"/>
      <c r="BH127" s="164"/>
      <c r="BI127" s="164"/>
    </row>
    <row r="128" ht="15.75" customHeight="1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  <c r="AH128" s="164"/>
      <c r="AI128" s="164"/>
      <c r="AJ128" s="164"/>
      <c r="AK128" s="164"/>
      <c r="AL128" s="164"/>
      <c r="AM128" s="164"/>
      <c r="AN128" s="164"/>
      <c r="AO128" s="164"/>
      <c r="AP128" s="164"/>
      <c r="AQ128" s="164"/>
      <c r="AR128" s="164"/>
      <c r="AS128" s="164"/>
      <c r="AT128" s="164"/>
      <c r="AU128" s="164"/>
      <c r="AV128" s="164"/>
      <c r="AW128" s="164"/>
      <c r="AX128" s="164"/>
      <c r="AY128" s="164"/>
      <c r="AZ128" s="164"/>
      <c r="BA128" s="164"/>
      <c r="BB128" s="164"/>
      <c r="BC128" s="164"/>
      <c r="BD128" s="164"/>
      <c r="BE128" s="164"/>
      <c r="BF128" s="164"/>
      <c r="BG128" s="164"/>
      <c r="BH128" s="164"/>
      <c r="BI128" s="164"/>
    </row>
    <row r="129" ht="15.75" customHeight="1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/>
      <c r="AJ129" s="164"/>
      <c r="AK129" s="164"/>
      <c r="AL129" s="164"/>
      <c r="AM129" s="164"/>
      <c r="AN129" s="164"/>
      <c r="AO129" s="164"/>
      <c r="AP129" s="164"/>
      <c r="AQ129" s="164"/>
      <c r="AR129" s="164"/>
      <c r="AS129" s="164"/>
      <c r="AT129" s="164"/>
      <c r="AU129" s="164"/>
      <c r="AV129" s="164"/>
      <c r="AW129" s="164"/>
      <c r="AX129" s="164"/>
      <c r="AY129" s="164"/>
      <c r="AZ129" s="164"/>
      <c r="BA129" s="164"/>
      <c r="BB129" s="164"/>
      <c r="BC129" s="164"/>
      <c r="BD129" s="164"/>
      <c r="BE129" s="164"/>
      <c r="BF129" s="164"/>
      <c r="BG129" s="164"/>
      <c r="BH129" s="164"/>
      <c r="BI129" s="164"/>
    </row>
    <row r="130" ht="15.75" customHeight="1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  <c r="AM130" s="164"/>
      <c r="AN130" s="164"/>
      <c r="AO130" s="164"/>
      <c r="AP130" s="164"/>
      <c r="AQ130" s="164"/>
      <c r="AR130" s="164"/>
      <c r="AS130" s="164"/>
      <c r="AT130" s="164"/>
      <c r="AU130" s="164"/>
      <c r="AV130" s="164"/>
      <c r="AW130" s="164"/>
      <c r="AX130" s="164"/>
      <c r="AY130" s="164"/>
      <c r="AZ130" s="164"/>
      <c r="BA130" s="164"/>
      <c r="BB130" s="164"/>
      <c r="BC130" s="164"/>
      <c r="BD130" s="164"/>
      <c r="BE130" s="164"/>
      <c r="BF130" s="164"/>
      <c r="BG130" s="164"/>
      <c r="BH130" s="164"/>
      <c r="BI130" s="164"/>
    </row>
    <row r="131" ht="15.75" customHeight="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64"/>
      <c r="AM131" s="164"/>
      <c r="AN131" s="164"/>
      <c r="AO131" s="164"/>
      <c r="AP131" s="164"/>
      <c r="AQ131" s="164"/>
      <c r="AR131" s="164"/>
      <c r="AS131" s="164"/>
      <c r="AT131" s="164"/>
      <c r="AU131" s="164"/>
      <c r="AV131" s="164"/>
      <c r="AW131" s="164"/>
      <c r="AX131" s="164"/>
      <c r="AY131" s="164"/>
      <c r="AZ131" s="164"/>
      <c r="BA131" s="164"/>
      <c r="BB131" s="164"/>
      <c r="BC131" s="164"/>
      <c r="BD131" s="164"/>
      <c r="BE131" s="164"/>
      <c r="BF131" s="164"/>
      <c r="BG131" s="164"/>
      <c r="BH131" s="164"/>
      <c r="BI131" s="164"/>
    </row>
    <row r="132" ht="15.75" customHeight="1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64"/>
      <c r="AJ132" s="164"/>
      <c r="AK132" s="164"/>
      <c r="AL132" s="164"/>
      <c r="AM132" s="164"/>
      <c r="AN132" s="164"/>
      <c r="AO132" s="164"/>
      <c r="AP132" s="164"/>
      <c r="AQ132" s="164"/>
      <c r="AR132" s="164"/>
      <c r="AS132" s="164"/>
      <c r="AT132" s="164"/>
      <c r="AU132" s="164"/>
      <c r="AV132" s="164"/>
      <c r="AW132" s="164"/>
      <c r="AX132" s="164"/>
      <c r="AY132" s="164"/>
      <c r="AZ132" s="164"/>
      <c r="BA132" s="164"/>
      <c r="BB132" s="164"/>
      <c r="BC132" s="164"/>
      <c r="BD132" s="164"/>
      <c r="BE132" s="164"/>
      <c r="BF132" s="164"/>
      <c r="BG132" s="164"/>
      <c r="BH132" s="164"/>
      <c r="BI132" s="164"/>
    </row>
    <row r="133" ht="15.75" customHeight="1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64"/>
      <c r="AJ133" s="164"/>
      <c r="AK133" s="164"/>
      <c r="AL133" s="164"/>
      <c r="AM133" s="164"/>
      <c r="AN133" s="164"/>
      <c r="AO133" s="164"/>
      <c r="AP133" s="164"/>
      <c r="AQ133" s="164"/>
      <c r="AR133" s="164"/>
      <c r="AS133" s="164"/>
      <c r="AT133" s="164"/>
      <c r="AU133" s="164"/>
      <c r="AV133" s="164"/>
      <c r="AW133" s="164"/>
      <c r="AX133" s="164"/>
      <c r="AY133" s="164"/>
      <c r="AZ133" s="164"/>
      <c r="BA133" s="164"/>
      <c r="BB133" s="164"/>
      <c r="BC133" s="164"/>
      <c r="BD133" s="164"/>
      <c r="BE133" s="164"/>
      <c r="BF133" s="164"/>
      <c r="BG133" s="164"/>
      <c r="BH133" s="164"/>
      <c r="BI133" s="164"/>
    </row>
    <row r="134" ht="15.75" customHeight="1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  <c r="AO134" s="164"/>
      <c r="AP134" s="164"/>
      <c r="AQ134" s="164"/>
      <c r="AR134" s="164"/>
      <c r="AS134" s="164"/>
      <c r="AT134" s="164"/>
      <c r="AU134" s="164"/>
      <c r="AV134" s="164"/>
      <c r="AW134" s="164"/>
      <c r="AX134" s="164"/>
      <c r="AY134" s="164"/>
      <c r="AZ134" s="164"/>
      <c r="BA134" s="164"/>
      <c r="BB134" s="164"/>
      <c r="BC134" s="164"/>
      <c r="BD134" s="164"/>
      <c r="BE134" s="164"/>
      <c r="BF134" s="164"/>
      <c r="BG134" s="164"/>
      <c r="BH134" s="164"/>
      <c r="BI134" s="164"/>
    </row>
    <row r="135" ht="15.75" customHeight="1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  <c r="AO135" s="164"/>
      <c r="AP135" s="164"/>
      <c r="AQ135" s="164"/>
      <c r="AR135" s="164"/>
      <c r="AS135" s="164"/>
      <c r="AT135" s="164"/>
      <c r="AU135" s="164"/>
      <c r="AV135" s="164"/>
      <c r="AW135" s="164"/>
      <c r="AX135" s="164"/>
      <c r="AY135" s="164"/>
      <c r="AZ135" s="164"/>
      <c r="BA135" s="164"/>
      <c r="BB135" s="164"/>
      <c r="BC135" s="164"/>
      <c r="BD135" s="164"/>
      <c r="BE135" s="164"/>
      <c r="BF135" s="164"/>
      <c r="BG135" s="164"/>
      <c r="BH135" s="164"/>
      <c r="BI135" s="164"/>
    </row>
    <row r="136" ht="15.75" customHeight="1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  <c r="AE136" s="164"/>
      <c r="AF136" s="164"/>
      <c r="AG136" s="164"/>
      <c r="AH136" s="164"/>
      <c r="AI136" s="164"/>
      <c r="AJ136" s="164"/>
      <c r="AK136" s="164"/>
      <c r="AL136" s="164"/>
      <c r="AM136" s="164"/>
      <c r="AN136" s="164"/>
      <c r="AO136" s="164"/>
      <c r="AP136" s="164"/>
      <c r="AQ136" s="164"/>
      <c r="AR136" s="164"/>
      <c r="AS136" s="164"/>
      <c r="AT136" s="164"/>
      <c r="AU136" s="164"/>
      <c r="AV136" s="164"/>
      <c r="AW136" s="164"/>
      <c r="AX136" s="164"/>
      <c r="AY136" s="164"/>
      <c r="AZ136" s="164"/>
      <c r="BA136" s="164"/>
      <c r="BB136" s="164"/>
      <c r="BC136" s="164"/>
      <c r="BD136" s="164"/>
      <c r="BE136" s="164"/>
      <c r="BF136" s="164"/>
      <c r="BG136" s="164"/>
      <c r="BH136" s="164"/>
      <c r="BI136" s="164"/>
    </row>
    <row r="137" ht="15.75" customHeight="1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64"/>
      <c r="AJ137" s="164"/>
      <c r="AK137" s="164"/>
      <c r="AL137" s="164"/>
      <c r="AM137" s="164"/>
      <c r="AN137" s="164"/>
      <c r="AO137" s="164"/>
      <c r="AP137" s="164"/>
      <c r="AQ137" s="164"/>
      <c r="AR137" s="164"/>
      <c r="AS137" s="164"/>
      <c r="AT137" s="164"/>
      <c r="AU137" s="164"/>
      <c r="AV137" s="164"/>
      <c r="AW137" s="164"/>
      <c r="AX137" s="164"/>
      <c r="AY137" s="164"/>
      <c r="AZ137" s="164"/>
      <c r="BA137" s="164"/>
      <c r="BB137" s="164"/>
      <c r="BC137" s="164"/>
      <c r="BD137" s="164"/>
      <c r="BE137" s="164"/>
      <c r="BF137" s="164"/>
      <c r="BG137" s="164"/>
      <c r="BH137" s="164"/>
      <c r="BI137" s="164"/>
    </row>
    <row r="138" ht="15.75" customHeight="1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  <c r="AG138" s="164"/>
      <c r="AH138" s="164"/>
      <c r="AI138" s="164"/>
      <c r="AJ138" s="164"/>
      <c r="AK138" s="164"/>
      <c r="AL138" s="164"/>
      <c r="AM138" s="164"/>
      <c r="AN138" s="164"/>
      <c r="AO138" s="164"/>
      <c r="AP138" s="164"/>
      <c r="AQ138" s="164"/>
      <c r="AR138" s="164"/>
      <c r="AS138" s="164"/>
      <c r="AT138" s="164"/>
      <c r="AU138" s="164"/>
      <c r="AV138" s="164"/>
      <c r="AW138" s="164"/>
      <c r="AX138" s="164"/>
      <c r="AY138" s="164"/>
      <c r="AZ138" s="164"/>
      <c r="BA138" s="164"/>
      <c r="BB138" s="164"/>
      <c r="BC138" s="164"/>
      <c r="BD138" s="164"/>
      <c r="BE138" s="164"/>
      <c r="BF138" s="164"/>
      <c r="BG138" s="164"/>
      <c r="BH138" s="164"/>
      <c r="BI138" s="164"/>
    </row>
    <row r="139" ht="15.75" customHeight="1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  <c r="AG139" s="164"/>
      <c r="AH139" s="164"/>
      <c r="AI139" s="164"/>
      <c r="AJ139" s="164"/>
      <c r="AK139" s="164"/>
      <c r="AL139" s="164"/>
      <c r="AM139" s="164"/>
      <c r="AN139" s="164"/>
      <c r="AO139" s="164"/>
      <c r="AP139" s="164"/>
      <c r="AQ139" s="164"/>
      <c r="AR139" s="164"/>
      <c r="AS139" s="164"/>
      <c r="AT139" s="164"/>
      <c r="AU139" s="164"/>
      <c r="AV139" s="164"/>
      <c r="AW139" s="164"/>
      <c r="AX139" s="164"/>
      <c r="AY139" s="164"/>
      <c r="AZ139" s="164"/>
      <c r="BA139" s="164"/>
      <c r="BB139" s="164"/>
      <c r="BC139" s="164"/>
      <c r="BD139" s="164"/>
      <c r="BE139" s="164"/>
      <c r="BF139" s="164"/>
      <c r="BG139" s="164"/>
      <c r="BH139" s="164"/>
      <c r="BI139" s="164"/>
    </row>
    <row r="140" ht="15.75" customHeight="1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  <c r="AM140" s="164"/>
      <c r="AN140" s="164"/>
      <c r="AO140" s="164"/>
      <c r="AP140" s="164"/>
      <c r="AQ140" s="164"/>
      <c r="AR140" s="164"/>
      <c r="AS140" s="164"/>
      <c r="AT140" s="164"/>
      <c r="AU140" s="164"/>
      <c r="AV140" s="164"/>
      <c r="AW140" s="164"/>
      <c r="AX140" s="164"/>
      <c r="AY140" s="164"/>
      <c r="AZ140" s="164"/>
      <c r="BA140" s="164"/>
      <c r="BB140" s="164"/>
      <c r="BC140" s="164"/>
      <c r="BD140" s="164"/>
      <c r="BE140" s="164"/>
      <c r="BF140" s="164"/>
      <c r="BG140" s="164"/>
      <c r="BH140" s="164"/>
      <c r="BI140" s="164"/>
    </row>
    <row r="141" ht="15.75" customHeight="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  <c r="AE141" s="164"/>
      <c r="AF141" s="164"/>
      <c r="AG141" s="164"/>
      <c r="AH141" s="164"/>
      <c r="AI141" s="164"/>
      <c r="AJ141" s="164"/>
      <c r="AK141" s="164"/>
      <c r="AL141" s="164"/>
      <c r="AM141" s="164"/>
      <c r="AN141" s="164"/>
      <c r="AO141" s="164"/>
      <c r="AP141" s="164"/>
      <c r="AQ141" s="164"/>
      <c r="AR141" s="164"/>
      <c r="AS141" s="164"/>
      <c r="AT141" s="164"/>
      <c r="AU141" s="164"/>
      <c r="AV141" s="164"/>
      <c r="AW141" s="164"/>
      <c r="AX141" s="164"/>
      <c r="AY141" s="164"/>
      <c r="AZ141" s="164"/>
      <c r="BA141" s="164"/>
      <c r="BB141" s="164"/>
      <c r="BC141" s="164"/>
      <c r="BD141" s="164"/>
      <c r="BE141" s="164"/>
      <c r="BF141" s="164"/>
      <c r="BG141" s="164"/>
      <c r="BH141" s="164"/>
      <c r="BI141" s="164"/>
    </row>
    <row r="142" ht="15.75" customHeight="1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  <c r="AE142" s="164"/>
      <c r="AF142" s="164"/>
      <c r="AG142" s="164"/>
      <c r="AH142" s="164"/>
      <c r="AI142" s="164"/>
      <c r="AJ142" s="164"/>
      <c r="AK142" s="164"/>
      <c r="AL142" s="164"/>
      <c r="AM142" s="164"/>
      <c r="AN142" s="164"/>
      <c r="AO142" s="164"/>
      <c r="AP142" s="164"/>
      <c r="AQ142" s="164"/>
      <c r="AR142" s="164"/>
      <c r="AS142" s="164"/>
      <c r="AT142" s="164"/>
      <c r="AU142" s="164"/>
      <c r="AV142" s="164"/>
      <c r="AW142" s="164"/>
      <c r="AX142" s="164"/>
      <c r="AY142" s="164"/>
      <c r="AZ142" s="164"/>
      <c r="BA142" s="164"/>
      <c r="BB142" s="164"/>
      <c r="BC142" s="164"/>
      <c r="BD142" s="164"/>
      <c r="BE142" s="164"/>
      <c r="BF142" s="164"/>
      <c r="BG142" s="164"/>
      <c r="BH142" s="164"/>
      <c r="BI142" s="164"/>
    </row>
    <row r="143" ht="15.75" customHeight="1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  <c r="AE143" s="164"/>
      <c r="AF143" s="164"/>
      <c r="AG143" s="164"/>
      <c r="AH143" s="164"/>
      <c r="AI143" s="164"/>
      <c r="AJ143" s="164"/>
      <c r="AK143" s="164"/>
      <c r="AL143" s="164"/>
      <c r="AM143" s="164"/>
      <c r="AN143" s="164"/>
      <c r="AO143" s="164"/>
      <c r="AP143" s="164"/>
      <c r="AQ143" s="164"/>
      <c r="AR143" s="164"/>
      <c r="AS143" s="164"/>
      <c r="AT143" s="164"/>
      <c r="AU143" s="164"/>
      <c r="AV143" s="164"/>
      <c r="AW143" s="164"/>
      <c r="AX143" s="164"/>
      <c r="AY143" s="164"/>
      <c r="AZ143" s="164"/>
      <c r="BA143" s="164"/>
      <c r="BB143" s="164"/>
      <c r="BC143" s="164"/>
      <c r="BD143" s="164"/>
      <c r="BE143" s="164"/>
      <c r="BF143" s="164"/>
      <c r="BG143" s="164"/>
      <c r="BH143" s="164"/>
      <c r="BI143" s="164"/>
    </row>
    <row r="144" ht="15.75" customHeight="1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  <c r="AD144" s="164"/>
      <c r="AE144" s="164"/>
      <c r="AF144" s="164"/>
      <c r="AG144" s="164"/>
      <c r="AH144" s="164"/>
      <c r="AI144" s="164"/>
      <c r="AJ144" s="164"/>
      <c r="AK144" s="164"/>
      <c r="AL144" s="164"/>
      <c r="AM144" s="164"/>
      <c r="AN144" s="164"/>
      <c r="AO144" s="164"/>
      <c r="AP144" s="164"/>
      <c r="AQ144" s="164"/>
      <c r="AR144" s="164"/>
      <c r="AS144" s="164"/>
      <c r="AT144" s="164"/>
      <c r="AU144" s="164"/>
      <c r="AV144" s="164"/>
      <c r="AW144" s="164"/>
      <c r="AX144" s="164"/>
      <c r="AY144" s="164"/>
      <c r="AZ144" s="164"/>
      <c r="BA144" s="164"/>
      <c r="BB144" s="164"/>
      <c r="BC144" s="164"/>
      <c r="BD144" s="164"/>
      <c r="BE144" s="164"/>
      <c r="BF144" s="164"/>
      <c r="BG144" s="164"/>
      <c r="BH144" s="164"/>
      <c r="BI144" s="164"/>
    </row>
    <row r="145" ht="15.75" customHeight="1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  <c r="AH145" s="164"/>
      <c r="AI145" s="164"/>
      <c r="AJ145" s="164"/>
      <c r="AK145" s="164"/>
      <c r="AL145" s="164"/>
      <c r="AM145" s="164"/>
      <c r="AN145" s="164"/>
      <c r="AO145" s="164"/>
      <c r="AP145" s="164"/>
      <c r="AQ145" s="164"/>
      <c r="AR145" s="164"/>
      <c r="AS145" s="164"/>
      <c r="AT145" s="164"/>
      <c r="AU145" s="164"/>
      <c r="AV145" s="164"/>
      <c r="AW145" s="164"/>
      <c r="AX145" s="164"/>
      <c r="AY145" s="164"/>
      <c r="AZ145" s="164"/>
      <c r="BA145" s="164"/>
      <c r="BB145" s="164"/>
      <c r="BC145" s="164"/>
      <c r="BD145" s="164"/>
      <c r="BE145" s="164"/>
      <c r="BF145" s="164"/>
      <c r="BG145" s="164"/>
      <c r="BH145" s="164"/>
      <c r="BI145" s="164"/>
    </row>
    <row r="146" ht="15.75" customHeight="1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  <c r="AH146" s="164"/>
      <c r="AI146" s="164"/>
      <c r="AJ146" s="164"/>
      <c r="AK146" s="164"/>
      <c r="AL146" s="164"/>
      <c r="AM146" s="164"/>
      <c r="AN146" s="164"/>
      <c r="AO146" s="164"/>
      <c r="AP146" s="164"/>
      <c r="AQ146" s="164"/>
      <c r="AR146" s="164"/>
      <c r="AS146" s="164"/>
      <c r="AT146" s="164"/>
      <c r="AU146" s="164"/>
      <c r="AV146" s="164"/>
      <c r="AW146" s="164"/>
      <c r="AX146" s="164"/>
      <c r="AY146" s="164"/>
      <c r="AZ146" s="164"/>
      <c r="BA146" s="164"/>
      <c r="BB146" s="164"/>
      <c r="BC146" s="164"/>
      <c r="BD146" s="164"/>
      <c r="BE146" s="164"/>
      <c r="BF146" s="164"/>
      <c r="BG146" s="164"/>
      <c r="BH146" s="164"/>
      <c r="BI146" s="164"/>
    </row>
    <row r="147" ht="15.75" customHeight="1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  <c r="AD147" s="164"/>
      <c r="AE147" s="164"/>
      <c r="AF147" s="164"/>
      <c r="AG147" s="164"/>
      <c r="AH147" s="164"/>
      <c r="AI147" s="164"/>
      <c r="AJ147" s="164"/>
      <c r="AK147" s="164"/>
      <c r="AL147" s="164"/>
      <c r="AM147" s="164"/>
      <c r="AN147" s="164"/>
      <c r="AO147" s="164"/>
      <c r="AP147" s="164"/>
      <c r="AQ147" s="164"/>
      <c r="AR147" s="164"/>
      <c r="AS147" s="164"/>
      <c r="AT147" s="164"/>
      <c r="AU147" s="164"/>
      <c r="AV147" s="164"/>
      <c r="AW147" s="164"/>
      <c r="AX147" s="164"/>
      <c r="AY147" s="164"/>
      <c r="AZ147" s="164"/>
      <c r="BA147" s="164"/>
      <c r="BB147" s="164"/>
      <c r="BC147" s="164"/>
      <c r="BD147" s="164"/>
      <c r="BE147" s="164"/>
      <c r="BF147" s="164"/>
      <c r="BG147" s="164"/>
      <c r="BH147" s="164"/>
      <c r="BI147" s="164"/>
    </row>
    <row r="148" ht="15.75" customHeight="1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  <c r="AD148" s="164"/>
      <c r="AE148" s="164"/>
      <c r="AF148" s="164"/>
      <c r="AG148" s="164"/>
      <c r="AH148" s="164"/>
      <c r="AI148" s="164"/>
      <c r="AJ148" s="164"/>
      <c r="AK148" s="164"/>
      <c r="AL148" s="164"/>
      <c r="AM148" s="164"/>
      <c r="AN148" s="164"/>
      <c r="AO148" s="164"/>
      <c r="AP148" s="164"/>
      <c r="AQ148" s="164"/>
      <c r="AR148" s="164"/>
      <c r="AS148" s="164"/>
      <c r="AT148" s="164"/>
      <c r="AU148" s="164"/>
      <c r="AV148" s="164"/>
      <c r="AW148" s="164"/>
      <c r="AX148" s="164"/>
      <c r="AY148" s="164"/>
      <c r="AZ148" s="164"/>
      <c r="BA148" s="164"/>
      <c r="BB148" s="164"/>
      <c r="BC148" s="164"/>
      <c r="BD148" s="164"/>
      <c r="BE148" s="164"/>
      <c r="BF148" s="164"/>
      <c r="BG148" s="164"/>
      <c r="BH148" s="164"/>
      <c r="BI148" s="164"/>
    </row>
    <row r="149" ht="15.75" customHeight="1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  <c r="AD149" s="164"/>
      <c r="AE149" s="164"/>
      <c r="AF149" s="164"/>
      <c r="AG149" s="164"/>
      <c r="AH149" s="164"/>
      <c r="AI149" s="164"/>
      <c r="AJ149" s="164"/>
      <c r="AK149" s="164"/>
      <c r="AL149" s="164"/>
      <c r="AM149" s="164"/>
      <c r="AN149" s="164"/>
      <c r="AO149" s="164"/>
      <c r="AP149" s="164"/>
      <c r="AQ149" s="164"/>
      <c r="AR149" s="164"/>
      <c r="AS149" s="164"/>
      <c r="AT149" s="164"/>
      <c r="AU149" s="164"/>
      <c r="AV149" s="164"/>
      <c r="AW149" s="164"/>
      <c r="AX149" s="164"/>
      <c r="AY149" s="164"/>
      <c r="AZ149" s="164"/>
      <c r="BA149" s="164"/>
      <c r="BB149" s="164"/>
      <c r="BC149" s="164"/>
      <c r="BD149" s="164"/>
      <c r="BE149" s="164"/>
      <c r="BF149" s="164"/>
      <c r="BG149" s="164"/>
      <c r="BH149" s="164"/>
      <c r="BI149" s="164"/>
    </row>
    <row r="150" ht="15.75" customHeight="1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  <c r="AD150" s="164"/>
      <c r="AE150" s="164"/>
      <c r="AF150" s="164"/>
      <c r="AG150" s="164"/>
      <c r="AH150" s="164"/>
      <c r="AI150" s="164"/>
      <c r="AJ150" s="164"/>
      <c r="AK150" s="164"/>
      <c r="AL150" s="164"/>
      <c r="AM150" s="164"/>
      <c r="AN150" s="164"/>
      <c r="AO150" s="164"/>
      <c r="AP150" s="164"/>
      <c r="AQ150" s="164"/>
      <c r="AR150" s="164"/>
      <c r="AS150" s="164"/>
      <c r="AT150" s="164"/>
      <c r="AU150" s="164"/>
      <c r="AV150" s="164"/>
      <c r="AW150" s="164"/>
      <c r="AX150" s="164"/>
      <c r="AY150" s="164"/>
      <c r="AZ150" s="164"/>
      <c r="BA150" s="164"/>
      <c r="BB150" s="164"/>
      <c r="BC150" s="164"/>
      <c r="BD150" s="164"/>
      <c r="BE150" s="164"/>
      <c r="BF150" s="164"/>
      <c r="BG150" s="164"/>
      <c r="BH150" s="164"/>
      <c r="BI150" s="164"/>
    </row>
    <row r="151" ht="15.75" customHeight="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  <c r="AD151" s="164"/>
      <c r="AE151" s="164"/>
      <c r="AF151" s="164"/>
      <c r="AG151" s="164"/>
      <c r="AH151" s="164"/>
      <c r="AI151" s="164"/>
      <c r="AJ151" s="164"/>
      <c r="AK151" s="164"/>
      <c r="AL151" s="164"/>
      <c r="AM151" s="164"/>
      <c r="AN151" s="164"/>
      <c r="AO151" s="164"/>
      <c r="AP151" s="164"/>
      <c r="AQ151" s="164"/>
      <c r="AR151" s="164"/>
      <c r="AS151" s="164"/>
      <c r="AT151" s="164"/>
      <c r="AU151" s="164"/>
      <c r="AV151" s="164"/>
      <c r="AW151" s="164"/>
      <c r="AX151" s="164"/>
      <c r="AY151" s="164"/>
      <c r="AZ151" s="164"/>
      <c r="BA151" s="164"/>
      <c r="BB151" s="164"/>
      <c r="BC151" s="164"/>
      <c r="BD151" s="164"/>
      <c r="BE151" s="164"/>
      <c r="BF151" s="164"/>
      <c r="BG151" s="164"/>
      <c r="BH151" s="164"/>
      <c r="BI151" s="164"/>
    </row>
    <row r="152" ht="15.75" customHeight="1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4"/>
      <c r="AG152" s="164"/>
      <c r="AH152" s="164"/>
      <c r="AI152" s="164"/>
      <c r="AJ152" s="164"/>
      <c r="AK152" s="164"/>
      <c r="AL152" s="164"/>
      <c r="AM152" s="164"/>
      <c r="AN152" s="164"/>
      <c r="AO152" s="164"/>
      <c r="AP152" s="164"/>
      <c r="AQ152" s="164"/>
      <c r="AR152" s="164"/>
      <c r="AS152" s="164"/>
      <c r="AT152" s="164"/>
      <c r="AU152" s="164"/>
      <c r="AV152" s="164"/>
      <c r="AW152" s="164"/>
      <c r="AX152" s="164"/>
      <c r="AY152" s="164"/>
      <c r="AZ152" s="164"/>
      <c r="BA152" s="164"/>
      <c r="BB152" s="164"/>
      <c r="BC152" s="164"/>
      <c r="BD152" s="164"/>
      <c r="BE152" s="164"/>
      <c r="BF152" s="164"/>
      <c r="BG152" s="164"/>
      <c r="BH152" s="164"/>
      <c r="BI152" s="164"/>
    </row>
    <row r="153" ht="15.75" customHeight="1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  <c r="AD153" s="164"/>
      <c r="AE153" s="164"/>
      <c r="AF153" s="164"/>
      <c r="AG153" s="164"/>
      <c r="AH153" s="164"/>
      <c r="AI153" s="164"/>
      <c r="AJ153" s="164"/>
      <c r="AK153" s="164"/>
      <c r="AL153" s="164"/>
      <c r="AM153" s="164"/>
      <c r="AN153" s="164"/>
      <c r="AO153" s="164"/>
      <c r="AP153" s="164"/>
      <c r="AQ153" s="164"/>
      <c r="AR153" s="164"/>
      <c r="AS153" s="164"/>
      <c r="AT153" s="164"/>
      <c r="AU153" s="164"/>
      <c r="AV153" s="164"/>
      <c r="AW153" s="164"/>
      <c r="AX153" s="164"/>
      <c r="AY153" s="164"/>
      <c r="AZ153" s="164"/>
      <c r="BA153" s="164"/>
      <c r="BB153" s="164"/>
      <c r="BC153" s="164"/>
      <c r="BD153" s="164"/>
      <c r="BE153" s="164"/>
      <c r="BF153" s="164"/>
      <c r="BG153" s="164"/>
      <c r="BH153" s="164"/>
      <c r="BI153" s="164"/>
    </row>
    <row r="154" ht="15.75" customHeight="1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  <c r="AD154" s="164"/>
      <c r="AE154" s="164"/>
      <c r="AF154" s="164"/>
      <c r="AG154" s="164"/>
      <c r="AH154" s="164"/>
      <c r="AI154" s="164"/>
      <c r="AJ154" s="164"/>
      <c r="AK154" s="164"/>
      <c r="AL154" s="164"/>
      <c r="AM154" s="164"/>
      <c r="AN154" s="164"/>
      <c r="AO154" s="164"/>
      <c r="AP154" s="164"/>
      <c r="AQ154" s="164"/>
      <c r="AR154" s="164"/>
      <c r="AS154" s="164"/>
      <c r="AT154" s="164"/>
      <c r="AU154" s="164"/>
      <c r="AV154" s="164"/>
      <c r="AW154" s="164"/>
      <c r="AX154" s="164"/>
      <c r="AY154" s="164"/>
      <c r="AZ154" s="164"/>
      <c r="BA154" s="164"/>
      <c r="BB154" s="164"/>
      <c r="BC154" s="164"/>
      <c r="BD154" s="164"/>
      <c r="BE154" s="164"/>
      <c r="BF154" s="164"/>
      <c r="BG154" s="164"/>
      <c r="BH154" s="164"/>
      <c r="BI154" s="164"/>
    </row>
    <row r="155" ht="15.75" customHeight="1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  <c r="AD155" s="164"/>
      <c r="AE155" s="164"/>
      <c r="AF155" s="164"/>
      <c r="AG155" s="164"/>
      <c r="AH155" s="164"/>
      <c r="AI155" s="164"/>
      <c r="AJ155" s="164"/>
      <c r="AK155" s="164"/>
      <c r="AL155" s="164"/>
      <c r="AM155" s="164"/>
      <c r="AN155" s="164"/>
      <c r="AO155" s="164"/>
      <c r="AP155" s="164"/>
      <c r="AQ155" s="164"/>
      <c r="AR155" s="164"/>
      <c r="AS155" s="164"/>
      <c r="AT155" s="164"/>
      <c r="AU155" s="164"/>
      <c r="AV155" s="164"/>
      <c r="AW155" s="164"/>
      <c r="AX155" s="164"/>
      <c r="AY155" s="164"/>
      <c r="AZ155" s="164"/>
      <c r="BA155" s="164"/>
      <c r="BB155" s="164"/>
      <c r="BC155" s="164"/>
      <c r="BD155" s="164"/>
      <c r="BE155" s="164"/>
      <c r="BF155" s="164"/>
      <c r="BG155" s="164"/>
      <c r="BH155" s="164"/>
      <c r="BI155" s="164"/>
    </row>
    <row r="156" ht="15.75" customHeight="1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  <c r="AD156" s="164"/>
      <c r="AE156" s="164"/>
      <c r="AF156" s="164"/>
      <c r="AG156" s="164"/>
      <c r="AH156" s="164"/>
      <c r="AI156" s="164"/>
      <c r="AJ156" s="164"/>
      <c r="AK156" s="164"/>
      <c r="AL156" s="164"/>
      <c r="AM156" s="164"/>
      <c r="AN156" s="164"/>
      <c r="AO156" s="164"/>
      <c r="AP156" s="164"/>
      <c r="AQ156" s="164"/>
      <c r="AR156" s="164"/>
      <c r="AS156" s="164"/>
      <c r="AT156" s="164"/>
      <c r="AU156" s="164"/>
      <c r="AV156" s="164"/>
      <c r="AW156" s="164"/>
      <c r="AX156" s="164"/>
      <c r="AY156" s="164"/>
      <c r="AZ156" s="164"/>
      <c r="BA156" s="164"/>
      <c r="BB156" s="164"/>
      <c r="BC156" s="164"/>
      <c r="BD156" s="164"/>
      <c r="BE156" s="164"/>
      <c r="BF156" s="164"/>
      <c r="BG156" s="164"/>
      <c r="BH156" s="164"/>
      <c r="BI156" s="164"/>
    </row>
    <row r="157" ht="15.75" customHeight="1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  <c r="AD157" s="164"/>
      <c r="AE157" s="164"/>
      <c r="AF157" s="164"/>
      <c r="AG157" s="164"/>
      <c r="AH157" s="164"/>
      <c r="AI157" s="164"/>
      <c r="AJ157" s="164"/>
      <c r="AK157" s="164"/>
      <c r="AL157" s="164"/>
      <c r="AM157" s="164"/>
      <c r="AN157" s="164"/>
      <c r="AO157" s="164"/>
      <c r="AP157" s="164"/>
      <c r="AQ157" s="164"/>
      <c r="AR157" s="164"/>
      <c r="AS157" s="164"/>
      <c r="AT157" s="164"/>
      <c r="AU157" s="164"/>
      <c r="AV157" s="164"/>
      <c r="AW157" s="164"/>
      <c r="AX157" s="164"/>
      <c r="AY157" s="164"/>
      <c r="AZ157" s="164"/>
      <c r="BA157" s="164"/>
      <c r="BB157" s="164"/>
      <c r="BC157" s="164"/>
      <c r="BD157" s="164"/>
      <c r="BE157" s="164"/>
      <c r="BF157" s="164"/>
      <c r="BG157" s="164"/>
      <c r="BH157" s="164"/>
      <c r="BI157" s="164"/>
    </row>
    <row r="158" ht="15.75" customHeight="1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  <c r="AD158" s="164"/>
      <c r="AE158" s="164"/>
      <c r="AF158" s="164"/>
      <c r="AG158" s="164"/>
      <c r="AH158" s="164"/>
      <c r="AI158" s="164"/>
      <c r="AJ158" s="164"/>
      <c r="AK158" s="164"/>
      <c r="AL158" s="164"/>
      <c r="AM158" s="164"/>
      <c r="AN158" s="164"/>
      <c r="AO158" s="164"/>
      <c r="AP158" s="164"/>
      <c r="AQ158" s="164"/>
      <c r="AR158" s="164"/>
      <c r="AS158" s="164"/>
      <c r="AT158" s="164"/>
      <c r="AU158" s="164"/>
      <c r="AV158" s="164"/>
      <c r="AW158" s="164"/>
      <c r="AX158" s="164"/>
      <c r="AY158" s="164"/>
      <c r="AZ158" s="164"/>
      <c r="BA158" s="164"/>
      <c r="BB158" s="164"/>
      <c r="BC158" s="164"/>
      <c r="BD158" s="164"/>
      <c r="BE158" s="164"/>
      <c r="BF158" s="164"/>
      <c r="BG158" s="164"/>
      <c r="BH158" s="164"/>
      <c r="BI158" s="164"/>
    </row>
    <row r="159" ht="15.75" customHeight="1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  <c r="AD159" s="164"/>
      <c r="AE159" s="164"/>
      <c r="AF159" s="164"/>
      <c r="AG159" s="164"/>
      <c r="AH159" s="164"/>
      <c r="AI159" s="164"/>
      <c r="AJ159" s="164"/>
      <c r="AK159" s="164"/>
      <c r="AL159" s="164"/>
      <c r="AM159" s="164"/>
      <c r="AN159" s="164"/>
      <c r="AO159" s="164"/>
      <c r="AP159" s="164"/>
      <c r="AQ159" s="164"/>
      <c r="AR159" s="164"/>
      <c r="AS159" s="164"/>
      <c r="AT159" s="164"/>
      <c r="AU159" s="164"/>
      <c r="AV159" s="164"/>
      <c r="AW159" s="164"/>
      <c r="AX159" s="164"/>
      <c r="AY159" s="164"/>
      <c r="AZ159" s="164"/>
      <c r="BA159" s="164"/>
      <c r="BB159" s="164"/>
      <c r="BC159" s="164"/>
      <c r="BD159" s="164"/>
      <c r="BE159" s="164"/>
      <c r="BF159" s="164"/>
      <c r="BG159" s="164"/>
      <c r="BH159" s="164"/>
      <c r="BI159" s="164"/>
    </row>
    <row r="160" ht="15.75" customHeight="1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  <c r="AD160" s="164"/>
      <c r="AE160" s="164"/>
      <c r="AF160" s="164"/>
      <c r="AG160" s="164"/>
      <c r="AH160" s="164"/>
      <c r="AI160" s="164"/>
      <c r="AJ160" s="164"/>
      <c r="AK160" s="164"/>
      <c r="AL160" s="164"/>
      <c r="AM160" s="164"/>
      <c r="AN160" s="164"/>
      <c r="AO160" s="164"/>
      <c r="AP160" s="164"/>
      <c r="AQ160" s="164"/>
      <c r="AR160" s="164"/>
      <c r="AS160" s="164"/>
      <c r="AT160" s="164"/>
      <c r="AU160" s="164"/>
      <c r="AV160" s="164"/>
      <c r="AW160" s="164"/>
      <c r="AX160" s="164"/>
      <c r="AY160" s="164"/>
      <c r="AZ160" s="164"/>
      <c r="BA160" s="164"/>
      <c r="BB160" s="164"/>
      <c r="BC160" s="164"/>
      <c r="BD160" s="164"/>
      <c r="BE160" s="164"/>
      <c r="BF160" s="164"/>
      <c r="BG160" s="164"/>
      <c r="BH160" s="164"/>
      <c r="BI160" s="164"/>
    </row>
    <row r="161" ht="15.75" customHeight="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  <c r="AD161" s="164"/>
      <c r="AE161" s="164"/>
      <c r="AF161" s="164"/>
      <c r="AG161" s="164"/>
      <c r="AH161" s="164"/>
      <c r="AI161" s="164"/>
      <c r="AJ161" s="164"/>
      <c r="AK161" s="164"/>
      <c r="AL161" s="164"/>
      <c r="AM161" s="164"/>
      <c r="AN161" s="164"/>
      <c r="AO161" s="164"/>
      <c r="AP161" s="164"/>
      <c r="AQ161" s="164"/>
      <c r="AR161" s="164"/>
      <c r="AS161" s="164"/>
      <c r="AT161" s="164"/>
      <c r="AU161" s="164"/>
      <c r="AV161" s="164"/>
      <c r="AW161" s="164"/>
      <c r="AX161" s="164"/>
      <c r="AY161" s="164"/>
      <c r="AZ161" s="164"/>
      <c r="BA161" s="164"/>
      <c r="BB161" s="164"/>
      <c r="BC161" s="164"/>
      <c r="BD161" s="164"/>
      <c r="BE161" s="164"/>
      <c r="BF161" s="164"/>
      <c r="BG161" s="164"/>
      <c r="BH161" s="164"/>
      <c r="BI161" s="164"/>
    </row>
    <row r="162" ht="15.75" customHeight="1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  <c r="AD162" s="164"/>
      <c r="AE162" s="164"/>
      <c r="AF162" s="164"/>
      <c r="AG162" s="164"/>
      <c r="AH162" s="164"/>
      <c r="AI162" s="164"/>
      <c r="AJ162" s="164"/>
      <c r="AK162" s="164"/>
      <c r="AL162" s="164"/>
      <c r="AM162" s="164"/>
      <c r="AN162" s="164"/>
      <c r="AO162" s="164"/>
      <c r="AP162" s="164"/>
      <c r="AQ162" s="164"/>
      <c r="AR162" s="164"/>
      <c r="AS162" s="164"/>
      <c r="AT162" s="164"/>
      <c r="AU162" s="164"/>
      <c r="AV162" s="164"/>
      <c r="AW162" s="164"/>
      <c r="AX162" s="164"/>
      <c r="AY162" s="164"/>
      <c r="AZ162" s="164"/>
      <c r="BA162" s="164"/>
      <c r="BB162" s="164"/>
      <c r="BC162" s="164"/>
      <c r="BD162" s="164"/>
      <c r="BE162" s="164"/>
      <c r="BF162" s="164"/>
      <c r="BG162" s="164"/>
      <c r="BH162" s="164"/>
      <c r="BI162" s="164"/>
    </row>
    <row r="163" ht="15.75" customHeight="1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  <c r="AE163" s="164"/>
      <c r="AF163" s="164"/>
      <c r="AG163" s="164"/>
      <c r="AH163" s="164"/>
      <c r="AI163" s="164"/>
      <c r="AJ163" s="164"/>
      <c r="AK163" s="164"/>
      <c r="AL163" s="164"/>
      <c r="AM163" s="164"/>
      <c r="AN163" s="164"/>
      <c r="AO163" s="164"/>
      <c r="AP163" s="164"/>
      <c r="AQ163" s="164"/>
      <c r="AR163" s="164"/>
      <c r="AS163" s="164"/>
      <c r="AT163" s="164"/>
      <c r="AU163" s="164"/>
      <c r="AV163" s="164"/>
      <c r="AW163" s="164"/>
      <c r="AX163" s="164"/>
      <c r="AY163" s="164"/>
      <c r="AZ163" s="164"/>
      <c r="BA163" s="164"/>
      <c r="BB163" s="164"/>
      <c r="BC163" s="164"/>
      <c r="BD163" s="164"/>
      <c r="BE163" s="164"/>
      <c r="BF163" s="164"/>
      <c r="BG163" s="164"/>
      <c r="BH163" s="164"/>
      <c r="BI163" s="164"/>
    </row>
    <row r="164" ht="15.75" customHeight="1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  <c r="AE164" s="164"/>
      <c r="AF164" s="164"/>
      <c r="AG164" s="164"/>
      <c r="AH164" s="164"/>
      <c r="AI164" s="164"/>
      <c r="AJ164" s="164"/>
      <c r="AK164" s="164"/>
      <c r="AL164" s="164"/>
      <c r="AM164" s="164"/>
      <c r="AN164" s="164"/>
      <c r="AO164" s="164"/>
      <c r="AP164" s="164"/>
      <c r="AQ164" s="164"/>
      <c r="AR164" s="164"/>
      <c r="AS164" s="164"/>
      <c r="AT164" s="164"/>
      <c r="AU164" s="164"/>
      <c r="AV164" s="164"/>
      <c r="AW164" s="164"/>
      <c r="AX164" s="164"/>
      <c r="AY164" s="164"/>
      <c r="AZ164" s="164"/>
      <c r="BA164" s="164"/>
      <c r="BB164" s="164"/>
      <c r="BC164" s="164"/>
      <c r="BD164" s="164"/>
      <c r="BE164" s="164"/>
      <c r="BF164" s="164"/>
      <c r="BG164" s="164"/>
      <c r="BH164" s="164"/>
      <c r="BI164" s="164"/>
    </row>
    <row r="165" ht="15.75" customHeight="1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  <c r="AD165" s="164"/>
      <c r="AE165" s="164"/>
      <c r="AF165" s="164"/>
      <c r="AG165" s="164"/>
      <c r="AH165" s="164"/>
      <c r="AI165" s="164"/>
      <c r="AJ165" s="164"/>
      <c r="AK165" s="164"/>
      <c r="AL165" s="164"/>
      <c r="AM165" s="164"/>
      <c r="AN165" s="164"/>
      <c r="AO165" s="164"/>
      <c r="AP165" s="164"/>
      <c r="AQ165" s="164"/>
      <c r="AR165" s="164"/>
      <c r="AS165" s="164"/>
      <c r="AT165" s="164"/>
      <c r="AU165" s="164"/>
      <c r="AV165" s="164"/>
      <c r="AW165" s="164"/>
      <c r="AX165" s="164"/>
      <c r="AY165" s="164"/>
      <c r="AZ165" s="164"/>
      <c r="BA165" s="164"/>
      <c r="BB165" s="164"/>
      <c r="BC165" s="164"/>
      <c r="BD165" s="164"/>
      <c r="BE165" s="164"/>
      <c r="BF165" s="164"/>
      <c r="BG165" s="164"/>
      <c r="BH165" s="164"/>
      <c r="BI165" s="164"/>
    </row>
    <row r="166" ht="15.75" customHeight="1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  <c r="AD166" s="164"/>
      <c r="AE166" s="164"/>
      <c r="AF166" s="164"/>
      <c r="AG166" s="164"/>
      <c r="AH166" s="164"/>
      <c r="AI166" s="164"/>
      <c r="AJ166" s="164"/>
      <c r="AK166" s="164"/>
      <c r="AL166" s="164"/>
      <c r="AM166" s="164"/>
      <c r="AN166" s="164"/>
      <c r="AO166" s="164"/>
      <c r="AP166" s="164"/>
      <c r="AQ166" s="164"/>
      <c r="AR166" s="164"/>
      <c r="AS166" s="164"/>
      <c r="AT166" s="164"/>
      <c r="AU166" s="164"/>
      <c r="AV166" s="164"/>
      <c r="AW166" s="164"/>
      <c r="AX166" s="164"/>
      <c r="AY166" s="164"/>
      <c r="AZ166" s="164"/>
      <c r="BA166" s="164"/>
      <c r="BB166" s="164"/>
      <c r="BC166" s="164"/>
      <c r="BD166" s="164"/>
      <c r="BE166" s="164"/>
      <c r="BF166" s="164"/>
      <c r="BG166" s="164"/>
      <c r="BH166" s="164"/>
      <c r="BI166" s="164"/>
    </row>
    <row r="167" ht="15.75" customHeight="1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64"/>
      <c r="AJ167" s="164"/>
      <c r="AK167" s="164"/>
      <c r="AL167" s="164"/>
      <c r="AM167" s="164"/>
      <c r="AN167" s="164"/>
      <c r="AO167" s="164"/>
      <c r="AP167" s="164"/>
      <c r="AQ167" s="164"/>
      <c r="AR167" s="164"/>
      <c r="AS167" s="164"/>
      <c r="AT167" s="164"/>
      <c r="AU167" s="164"/>
      <c r="AV167" s="164"/>
      <c r="AW167" s="164"/>
      <c r="AX167" s="164"/>
      <c r="AY167" s="164"/>
      <c r="AZ167" s="164"/>
      <c r="BA167" s="164"/>
      <c r="BB167" s="164"/>
      <c r="BC167" s="164"/>
      <c r="BD167" s="164"/>
      <c r="BE167" s="164"/>
      <c r="BF167" s="164"/>
      <c r="BG167" s="164"/>
      <c r="BH167" s="164"/>
      <c r="BI167" s="164"/>
    </row>
    <row r="168" ht="15.75" customHeight="1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  <c r="AG168" s="164"/>
      <c r="AH168" s="164"/>
      <c r="AI168" s="164"/>
      <c r="AJ168" s="164"/>
      <c r="AK168" s="164"/>
      <c r="AL168" s="164"/>
      <c r="AM168" s="164"/>
      <c r="AN168" s="164"/>
      <c r="AO168" s="164"/>
      <c r="AP168" s="164"/>
      <c r="AQ168" s="164"/>
      <c r="AR168" s="164"/>
      <c r="AS168" s="164"/>
      <c r="AT168" s="164"/>
      <c r="AU168" s="164"/>
      <c r="AV168" s="164"/>
      <c r="AW168" s="164"/>
      <c r="AX168" s="164"/>
      <c r="AY168" s="164"/>
      <c r="AZ168" s="164"/>
      <c r="BA168" s="164"/>
      <c r="BB168" s="164"/>
      <c r="BC168" s="164"/>
      <c r="BD168" s="164"/>
      <c r="BE168" s="164"/>
      <c r="BF168" s="164"/>
      <c r="BG168" s="164"/>
      <c r="BH168" s="164"/>
      <c r="BI168" s="164"/>
    </row>
    <row r="169" ht="15.75" customHeight="1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  <c r="AD169" s="164"/>
      <c r="AE169" s="164"/>
      <c r="AF169" s="164"/>
      <c r="AG169" s="164"/>
      <c r="AH169" s="164"/>
      <c r="AI169" s="164"/>
      <c r="AJ169" s="164"/>
      <c r="AK169" s="164"/>
      <c r="AL169" s="164"/>
      <c r="AM169" s="164"/>
      <c r="AN169" s="164"/>
      <c r="AO169" s="164"/>
      <c r="AP169" s="164"/>
      <c r="AQ169" s="164"/>
      <c r="AR169" s="164"/>
      <c r="AS169" s="164"/>
      <c r="AT169" s="164"/>
      <c r="AU169" s="164"/>
      <c r="AV169" s="164"/>
      <c r="AW169" s="164"/>
      <c r="AX169" s="164"/>
      <c r="AY169" s="164"/>
      <c r="AZ169" s="164"/>
      <c r="BA169" s="164"/>
      <c r="BB169" s="164"/>
      <c r="BC169" s="164"/>
      <c r="BD169" s="164"/>
      <c r="BE169" s="164"/>
      <c r="BF169" s="164"/>
      <c r="BG169" s="164"/>
      <c r="BH169" s="164"/>
      <c r="BI169" s="164"/>
    </row>
    <row r="170" ht="15.75" customHeight="1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  <c r="AC170" s="164"/>
      <c r="AD170" s="164"/>
      <c r="AE170" s="164"/>
      <c r="AF170" s="164"/>
      <c r="AG170" s="164"/>
      <c r="AH170" s="164"/>
      <c r="AI170" s="164"/>
      <c r="AJ170" s="164"/>
      <c r="AK170" s="164"/>
      <c r="AL170" s="164"/>
      <c r="AM170" s="164"/>
      <c r="AN170" s="164"/>
      <c r="AO170" s="164"/>
      <c r="AP170" s="164"/>
      <c r="AQ170" s="164"/>
      <c r="AR170" s="164"/>
      <c r="AS170" s="164"/>
      <c r="AT170" s="164"/>
      <c r="AU170" s="164"/>
      <c r="AV170" s="164"/>
      <c r="AW170" s="164"/>
      <c r="AX170" s="164"/>
      <c r="AY170" s="164"/>
      <c r="AZ170" s="164"/>
      <c r="BA170" s="164"/>
      <c r="BB170" s="164"/>
      <c r="BC170" s="164"/>
      <c r="BD170" s="164"/>
      <c r="BE170" s="164"/>
      <c r="BF170" s="164"/>
      <c r="BG170" s="164"/>
      <c r="BH170" s="164"/>
      <c r="BI170" s="164"/>
    </row>
    <row r="171" ht="15.75" customHeight="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  <c r="AK171" s="164"/>
      <c r="AL171" s="164"/>
      <c r="AM171" s="164"/>
      <c r="AN171" s="164"/>
      <c r="AO171" s="164"/>
      <c r="AP171" s="164"/>
      <c r="AQ171" s="164"/>
      <c r="AR171" s="164"/>
      <c r="AS171" s="164"/>
      <c r="AT171" s="164"/>
      <c r="AU171" s="164"/>
      <c r="AV171" s="164"/>
      <c r="AW171" s="164"/>
      <c r="AX171" s="164"/>
      <c r="AY171" s="164"/>
      <c r="AZ171" s="164"/>
      <c r="BA171" s="164"/>
      <c r="BB171" s="164"/>
      <c r="BC171" s="164"/>
      <c r="BD171" s="164"/>
      <c r="BE171" s="164"/>
      <c r="BF171" s="164"/>
      <c r="BG171" s="164"/>
      <c r="BH171" s="164"/>
      <c r="BI171" s="164"/>
    </row>
    <row r="172" ht="15.75" customHeight="1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  <c r="AD172" s="164"/>
      <c r="AE172" s="164"/>
      <c r="AF172" s="164"/>
      <c r="AG172" s="164"/>
      <c r="AH172" s="164"/>
      <c r="AI172" s="164"/>
      <c r="AJ172" s="164"/>
      <c r="AK172" s="164"/>
      <c r="AL172" s="164"/>
      <c r="AM172" s="164"/>
      <c r="AN172" s="164"/>
      <c r="AO172" s="164"/>
      <c r="AP172" s="164"/>
      <c r="AQ172" s="164"/>
      <c r="AR172" s="164"/>
      <c r="AS172" s="164"/>
      <c r="AT172" s="164"/>
      <c r="AU172" s="164"/>
      <c r="AV172" s="164"/>
      <c r="AW172" s="164"/>
      <c r="AX172" s="164"/>
      <c r="AY172" s="164"/>
      <c r="AZ172" s="164"/>
      <c r="BA172" s="164"/>
      <c r="BB172" s="164"/>
      <c r="BC172" s="164"/>
      <c r="BD172" s="164"/>
      <c r="BE172" s="164"/>
      <c r="BF172" s="164"/>
      <c r="BG172" s="164"/>
      <c r="BH172" s="164"/>
      <c r="BI172" s="164"/>
    </row>
    <row r="173" ht="15.75" customHeight="1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  <c r="AD173" s="164"/>
      <c r="AE173" s="164"/>
      <c r="AF173" s="164"/>
      <c r="AG173" s="164"/>
      <c r="AH173" s="164"/>
      <c r="AI173" s="164"/>
      <c r="AJ173" s="164"/>
      <c r="AK173" s="164"/>
      <c r="AL173" s="164"/>
      <c r="AM173" s="164"/>
      <c r="AN173" s="164"/>
      <c r="AO173" s="164"/>
      <c r="AP173" s="164"/>
      <c r="AQ173" s="164"/>
      <c r="AR173" s="164"/>
      <c r="AS173" s="164"/>
      <c r="AT173" s="164"/>
      <c r="AU173" s="164"/>
      <c r="AV173" s="164"/>
      <c r="AW173" s="164"/>
      <c r="AX173" s="164"/>
      <c r="AY173" s="164"/>
      <c r="AZ173" s="164"/>
      <c r="BA173" s="164"/>
      <c r="BB173" s="164"/>
      <c r="BC173" s="164"/>
      <c r="BD173" s="164"/>
      <c r="BE173" s="164"/>
      <c r="BF173" s="164"/>
      <c r="BG173" s="164"/>
      <c r="BH173" s="164"/>
      <c r="BI173" s="164"/>
    </row>
    <row r="174" ht="15.75" customHeight="1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  <c r="AD174" s="164"/>
      <c r="AE174" s="164"/>
      <c r="AF174" s="164"/>
      <c r="AG174" s="164"/>
      <c r="AH174" s="164"/>
      <c r="AI174" s="164"/>
      <c r="AJ174" s="164"/>
      <c r="AK174" s="164"/>
      <c r="AL174" s="164"/>
      <c r="AM174" s="164"/>
      <c r="AN174" s="164"/>
      <c r="AO174" s="164"/>
      <c r="AP174" s="164"/>
      <c r="AQ174" s="164"/>
      <c r="AR174" s="164"/>
      <c r="AS174" s="164"/>
      <c r="AT174" s="164"/>
      <c r="AU174" s="164"/>
      <c r="AV174" s="164"/>
      <c r="AW174" s="164"/>
      <c r="AX174" s="164"/>
      <c r="AY174" s="164"/>
      <c r="AZ174" s="164"/>
      <c r="BA174" s="164"/>
      <c r="BB174" s="164"/>
      <c r="BC174" s="164"/>
      <c r="BD174" s="164"/>
      <c r="BE174" s="164"/>
      <c r="BF174" s="164"/>
      <c r="BG174" s="164"/>
      <c r="BH174" s="164"/>
      <c r="BI174" s="164"/>
    </row>
    <row r="175" ht="15.75" customHeight="1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  <c r="AD175" s="164"/>
      <c r="AE175" s="164"/>
      <c r="AF175" s="164"/>
      <c r="AG175" s="164"/>
      <c r="AH175" s="164"/>
      <c r="AI175" s="164"/>
      <c r="AJ175" s="164"/>
      <c r="AK175" s="164"/>
      <c r="AL175" s="164"/>
      <c r="AM175" s="164"/>
      <c r="AN175" s="164"/>
      <c r="AO175" s="164"/>
      <c r="AP175" s="164"/>
      <c r="AQ175" s="164"/>
      <c r="AR175" s="164"/>
      <c r="AS175" s="164"/>
      <c r="AT175" s="164"/>
      <c r="AU175" s="164"/>
      <c r="AV175" s="164"/>
      <c r="AW175" s="164"/>
      <c r="AX175" s="164"/>
      <c r="AY175" s="164"/>
      <c r="AZ175" s="164"/>
      <c r="BA175" s="164"/>
      <c r="BB175" s="164"/>
      <c r="BC175" s="164"/>
      <c r="BD175" s="164"/>
      <c r="BE175" s="164"/>
      <c r="BF175" s="164"/>
      <c r="BG175" s="164"/>
      <c r="BH175" s="164"/>
      <c r="BI175" s="164"/>
    </row>
    <row r="176" ht="15.75" customHeight="1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  <c r="AE176" s="164"/>
      <c r="AF176" s="164"/>
      <c r="AG176" s="164"/>
      <c r="AH176" s="164"/>
      <c r="AI176" s="164"/>
      <c r="AJ176" s="164"/>
      <c r="AK176" s="164"/>
      <c r="AL176" s="164"/>
      <c r="AM176" s="164"/>
      <c r="AN176" s="164"/>
      <c r="AO176" s="164"/>
      <c r="AP176" s="164"/>
      <c r="AQ176" s="164"/>
      <c r="AR176" s="164"/>
      <c r="AS176" s="164"/>
      <c r="AT176" s="164"/>
      <c r="AU176" s="164"/>
      <c r="AV176" s="164"/>
      <c r="AW176" s="164"/>
      <c r="AX176" s="164"/>
      <c r="AY176" s="164"/>
      <c r="AZ176" s="164"/>
      <c r="BA176" s="164"/>
      <c r="BB176" s="164"/>
      <c r="BC176" s="164"/>
      <c r="BD176" s="164"/>
      <c r="BE176" s="164"/>
      <c r="BF176" s="164"/>
      <c r="BG176" s="164"/>
      <c r="BH176" s="164"/>
      <c r="BI176" s="164"/>
    </row>
    <row r="177" ht="15.75" customHeight="1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  <c r="AD177" s="164"/>
      <c r="AE177" s="164"/>
      <c r="AF177" s="164"/>
      <c r="AG177" s="164"/>
      <c r="AH177" s="164"/>
      <c r="AI177" s="164"/>
      <c r="AJ177" s="164"/>
      <c r="AK177" s="164"/>
      <c r="AL177" s="164"/>
      <c r="AM177" s="164"/>
      <c r="AN177" s="164"/>
      <c r="AO177" s="164"/>
      <c r="AP177" s="164"/>
      <c r="AQ177" s="164"/>
      <c r="AR177" s="164"/>
      <c r="AS177" s="164"/>
      <c r="AT177" s="164"/>
      <c r="AU177" s="164"/>
      <c r="AV177" s="164"/>
      <c r="AW177" s="164"/>
      <c r="AX177" s="164"/>
      <c r="AY177" s="164"/>
      <c r="AZ177" s="164"/>
      <c r="BA177" s="164"/>
      <c r="BB177" s="164"/>
      <c r="BC177" s="164"/>
      <c r="BD177" s="164"/>
      <c r="BE177" s="164"/>
      <c r="BF177" s="164"/>
      <c r="BG177" s="164"/>
      <c r="BH177" s="164"/>
      <c r="BI177" s="164"/>
    </row>
    <row r="178" ht="15.75" customHeight="1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  <c r="AD178" s="164"/>
      <c r="AE178" s="164"/>
      <c r="AF178" s="164"/>
      <c r="AG178" s="164"/>
      <c r="AH178" s="164"/>
      <c r="AI178" s="164"/>
      <c r="AJ178" s="164"/>
      <c r="AK178" s="164"/>
      <c r="AL178" s="164"/>
      <c r="AM178" s="164"/>
      <c r="AN178" s="164"/>
      <c r="AO178" s="164"/>
      <c r="AP178" s="164"/>
      <c r="AQ178" s="164"/>
      <c r="AR178" s="164"/>
      <c r="AS178" s="164"/>
      <c r="AT178" s="164"/>
      <c r="AU178" s="164"/>
      <c r="AV178" s="164"/>
      <c r="AW178" s="164"/>
      <c r="AX178" s="164"/>
      <c r="AY178" s="164"/>
      <c r="AZ178" s="164"/>
      <c r="BA178" s="164"/>
      <c r="BB178" s="164"/>
      <c r="BC178" s="164"/>
      <c r="BD178" s="164"/>
      <c r="BE178" s="164"/>
      <c r="BF178" s="164"/>
      <c r="BG178" s="164"/>
      <c r="BH178" s="164"/>
      <c r="BI178" s="164"/>
    </row>
    <row r="179" ht="15.75" customHeight="1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  <c r="AD179" s="164"/>
      <c r="AE179" s="164"/>
      <c r="AF179" s="164"/>
      <c r="AG179" s="164"/>
      <c r="AH179" s="164"/>
      <c r="AI179" s="164"/>
      <c r="AJ179" s="164"/>
      <c r="AK179" s="164"/>
      <c r="AL179" s="164"/>
      <c r="AM179" s="164"/>
      <c r="AN179" s="164"/>
      <c r="AO179" s="164"/>
      <c r="AP179" s="164"/>
      <c r="AQ179" s="164"/>
      <c r="AR179" s="164"/>
      <c r="AS179" s="164"/>
      <c r="AT179" s="164"/>
      <c r="AU179" s="164"/>
      <c r="AV179" s="164"/>
      <c r="AW179" s="164"/>
      <c r="AX179" s="164"/>
      <c r="AY179" s="164"/>
      <c r="AZ179" s="164"/>
      <c r="BA179" s="164"/>
      <c r="BB179" s="164"/>
      <c r="BC179" s="164"/>
      <c r="BD179" s="164"/>
      <c r="BE179" s="164"/>
      <c r="BF179" s="164"/>
      <c r="BG179" s="164"/>
      <c r="BH179" s="164"/>
      <c r="BI179" s="164"/>
    </row>
    <row r="180" ht="15.75" customHeight="1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  <c r="AD180" s="164"/>
      <c r="AE180" s="164"/>
      <c r="AF180" s="164"/>
      <c r="AG180" s="164"/>
      <c r="AH180" s="164"/>
      <c r="AI180" s="164"/>
      <c r="AJ180" s="164"/>
      <c r="AK180" s="164"/>
      <c r="AL180" s="164"/>
      <c r="AM180" s="164"/>
      <c r="AN180" s="164"/>
      <c r="AO180" s="164"/>
      <c r="AP180" s="164"/>
      <c r="AQ180" s="164"/>
      <c r="AR180" s="164"/>
      <c r="AS180" s="164"/>
      <c r="AT180" s="164"/>
      <c r="AU180" s="164"/>
      <c r="AV180" s="164"/>
      <c r="AW180" s="164"/>
      <c r="AX180" s="164"/>
      <c r="AY180" s="164"/>
      <c r="AZ180" s="164"/>
      <c r="BA180" s="164"/>
      <c r="BB180" s="164"/>
      <c r="BC180" s="164"/>
      <c r="BD180" s="164"/>
      <c r="BE180" s="164"/>
      <c r="BF180" s="164"/>
      <c r="BG180" s="164"/>
      <c r="BH180" s="164"/>
      <c r="BI180" s="164"/>
    </row>
    <row r="181" ht="15.75" customHeight="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  <c r="AD181" s="164"/>
      <c r="AE181" s="164"/>
      <c r="AF181" s="164"/>
      <c r="AG181" s="164"/>
      <c r="AH181" s="164"/>
      <c r="AI181" s="164"/>
      <c r="AJ181" s="164"/>
      <c r="AK181" s="164"/>
      <c r="AL181" s="164"/>
      <c r="AM181" s="164"/>
      <c r="AN181" s="164"/>
      <c r="AO181" s="164"/>
      <c r="AP181" s="164"/>
      <c r="AQ181" s="164"/>
      <c r="AR181" s="164"/>
      <c r="AS181" s="164"/>
      <c r="AT181" s="164"/>
      <c r="AU181" s="164"/>
      <c r="AV181" s="164"/>
      <c r="AW181" s="164"/>
      <c r="AX181" s="164"/>
      <c r="AY181" s="164"/>
      <c r="AZ181" s="164"/>
      <c r="BA181" s="164"/>
      <c r="BB181" s="164"/>
      <c r="BC181" s="164"/>
      <c r="BD181" s="164"/>
      <c r="BE181" s="164"/>
      <c r="BF181" s="164"/>
      <c r="BG181" s="164"/>
      <c r="BH181" s="164"/>
      <c r="BI181" s="164"/>
    </row>
    <row r="182" ht="15.75" customHeight="1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  <c r="AD182" s="164"/>
      <c r="AE182" s="164"/>
      <c r="AF182" s="164"/>
      <c r="AG182" s="164"/>
      <c r="AH182" s="164"/>
      <c r="AI182" s="164"/>
      <c r="AJ182" s="164"/>
      <c r="AK182" s="164"/>
      <c r="AL182" s="164"/>
      <c r="AM182" s="164"/>
      <c r="AN182" s="164"/>
      <c r="AO182" s="164"/>
      <c r="AP182" s="164"/>
      <c r="AQ182" s="164"/>
      <c r="AR182" s="164"/>
      <c r="AS182" s="164"/>
      <c r="AT182" s="164"/>
      <c r="AU182" s="164"/>
      <c r="AV182" s="164"/>
      <c r="AW182" s="164"/>
      <c r="AX182" s="164"/>
      <c r="AY182" s="164"/>
      <c r="AZ182" s="164"/>
      <c r="BA182" s="164"/>
      <c r="BB182" s="164"/>
      <c r="BC182" s="164"/>
      <c r="BD182" s="164"/>
      <c r="BE182" s="164"/>
      <c r="BF182" s="164"/>
      <c r="BG182" s="164"/>
      <c r="BH182" s="164"/>
      <c r="BI182" s="164"/>
    </row>
    <row r="183" ht="15.75" customHeight="1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  <c r="AD183" s="164"/>
      <c r="AE183" s="164"/>
      <c r="AF183" s="164"/>
      <c r="AG183" s="164"/>
      <c r="AH183" s="164"/>
      <c r="AI183" s="164"/>
      <c r="AJ183" s="164"/>
      <c r="AK183" s="164"/>
      <c r="AL183" s="164"/>
      <c r="AM183" s="164"/>
      <c r="AN183" s="164"/>
      <c r="AO183" s="164"/>
      <c r="AP183" s="164"/>
      <c r="AQ183" s="164"/>
      <c r="AR183" s="164"/>
      <c r="AS183" s="164"/>
      <c r="AT183" s="164"/>
      <c r="AU183" s="164"/>
      <c r="AV183" s="164"/>
      <c r="AW183" s="164"/>
      <c r="AX183" s="164"/>
      <c r="AY183" s="164"/>
      <c r="AZ183" s="164"/>
      <c r="BA183" s="164"/>
      <c r="BB183" s="164"/>
      <c r="BC183" s="164"/>
      <c r="BD183" s="164"/>
      <c r="BE183" s="164"/>
      <c r="BF183" s="164"/>
      <c r="BG183" s="164"/>
      <c r="BH183" s="164"/>
      <c r="BI183" s="164"/>
    </row>
    <row r="184" ht="15.75" customHeight="1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  <c r="AD184" s="164"/>
      <c r="AE184" s="164"/>
      <c r="AF184" s="164"/>
      <c r="AG184" s="164"/>
      <c r="AH184" s="164"/>
      <c r="AI184" s="164"/>
      <c r="AJ184" s="164"/>
      <c r="AK184" s="164"/>
      <c r="AL184" s="164"/>
      <c r="AM184" s="164"/>
      <c r="AN184" s="164"/>
      <c r="AO184" s="164"/>
      <c r="AP184" s="164"/>
      <c r="AQ184" s="164"/>
      <c r="AR184" s="164"/>
      <c r="AS184" s="164"/>
      <c r="AT184" s="164"/>
      <c r="AU184" s="164"/>
      <c r="AV184" s="164"/>
      <c r="AW184" s="164"/>
      <c r="AX184" s="164"/>
      <c r="AY184" s="164"/>
      <c r="AZ184" s="164"/>
      <c r="BA184" s="164"/>
      <c r="BB184" s="164"/>
      <c r="BC184" s="164"/>
      <c r="BD184" s="164"/>
      <c r="BE184" s="164"/>
      <c r="BF184" s="164"/>
      <c r="BG184" s="164"/>
      <c r="BH184" s="164"/>
      <c r="BI184" s="164"/>
    </row>
    <row r="185" ht="15.75" customHeight="1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  <c r="AG185" s="164"/>
      <c r="AH185" s="164"/>
      <c r="AI185" s="164"/>
      <c r="AJ185" s="164"/>
      <c r="AK185" s="164"/>
      <c r="AL185" s="164"/>
      <c r="AM185" s="164"/>
      <c r="AN185" s="164"/>
      <c r="AO185" s="164"/>
      <c r="AP185" s="164"/>
      <c r="AQ185" s="164"/>
      <c r="AR185" s="164"/>
      <c r="AS185" s="164"/>
      <c r="AT185" s="164"/>
      <c r="AU185" s="164"/>
      <c r="AV185" s="164"/>
      <c r="AW185" s="164"/>
      <c r="AX185" s="164"/>
      <c r="AY185" s="164"/>
      <c r="AZ185" s="164"/>
      <c r="BA185" s="164"/>
      <c r="BB185" s="164"/>
      <c r="BC185" s="164"/>
      <c r="BD185" s="164"/>
      <c r="BE185" s="164"/>
      <c r="BF185" s="164"/>
      <c r="BG185" s="164"/>
      <c r="BH185" s="164"/>
      <c r="BI185" s="164"/>
    </row>
    <row r="186" ht="15.75" customHeight="1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  <c r="AE186" s="164"/>
      <c r="AF186" s="164"/>
      <c r="AG186" s="164"/>
      <c r="AH186" s="164"/>
      <c r="AI186" s="164"/>
      <c r="AJ186" s="164"/>
      <c r="AK186" s="164"/>
      <c r="AL186" s="164"/>
      <c r="AM186" s="164"/>
      <c r="AN186" s="164"/>
      <c r="AO186" s="164"/>
      <c r="AP186" s="164"/>
      <c r="AQ186" s="164"/>
      <c r="AR186" s="164"/>
      <c r="AS186" s="164"/>
      <c r="AT186" s="164"/>
      <c r="AU186" s="164"/>
      <c r="AV186" s="164"/>
      <c r="AW186" s="164"/>
      <c r="AX186" s="164"/>
      <c r="AY186" s="164"/>
      <c r="AZ186" s="164"/>
      <c r="BA186" s="164"/>
      <c r="BB186" s="164"/>
      <c r="BC186" s="164"/>
      <c r="BD186" s="164"/>
      <c r="BE186" s="164"/>
      <c r="BF186" s="164"/>
      <c r="BG186" s="164"/>
      <c r="BH186" s="164"/>
      <c r="BI186" s="164"/>
    </row>
    <row r="187" ht="15.75" customHeight="1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  <c r="AD187" s="164"/>
      <c r="AE187" s="164"/>
      <c r="AF187" s="164"/>
      <c r="AG187" s="164"/>
      <c r="AH187" s="164"/>
      <c r="AI187" s="164"/>
      <c r="AJ187" s="164"/>
      <c r="AK187" s="164"/>
      <c r="AL187" s="164"/>
      <c r="AM187" s="164"/>
      <c r="AN187" s="164"/>
      <c r="AO187" s="164"/>
      <c r="AP187" s="164"/>
      <c r="AQ187" s="164"/>
      <c r="AR187" s="164"/>
      <c r="AS187" s="164"/>
      <c r="AT187" s="164"/>
      <c r="AU187" s="164"/>
      <c r="AV187" s="164"/>
      <c r="AW187" s="164"/>
      <c r="AX187" s="164"/>
      <c r="AY187" s="164"/>
      <c r="AZ187" s="164"/>
      <c r="BA187" s="164"/>
      <c r="BB187" s="164"/>
      <c r="BC187" s="164"/>
      <c r="BD187" s="164"/>
      <c r="BE187" s="164"/>
      <c r="BF187" s="164"/>
      <c r="BG187" s="164"/>
      <c r="BH187" s="164"/>
      <c r="BI187" s="164"/>
    </row>
    <row r="188" ht="15.75" customHeight="1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  <c r="AD188" s="164"/>
      <c r="AE188" s="164"/>
      <c r="AF188" s="164"/>
      <c r="AG188" s="164"/>
      <c r="AH188" s="164"/>
      <c r="AI188" s="164"/>
      <c r="AJ188" s="164"/>
      <c r="AK188" s="164"/>
      <c r="AL188" s="164"/>
      <c r="AM188" s="164"/>
      <c r="AN188" s="164"/>
      <c r="AO188" s="164"/>
      <c r="AP188" s="164"/>
      <c r="AQ188" s="164"/>
      <c r="AR188" s="164"/>
      <c r="AS188" s="164"/>
      <c r="AT188" s="164"/>
      <c r="AU188" s="164"/>
      <c r="AV188" s="164"/>
      <c r="AW188" s="164"/>
      <c r="AX188" s="164"/>
      <c r="AY188" s="164"/>
      <c r="AZ188" s="164"/>
      <c r="BA188" s="164"/>
      <c r="BB188" s="164"/>
      <c r="BC188" s="164"/>
      <c r="BD188" s="164"/>
      <c r="BE188" s="164"/>
      <c r="BF188" s="164"/>
      <c r="BG188" s="164"/>
      <c r="BH188" s="164"/>
      <c r="BI188" s="164"/>
    </row>
    <row r="189" ht="15.75" customHeight="1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  <c r="AD189" s="164"/>
      <c r="AE189" s="164"/>
      <c r="AF189" s="164"/>
      <c r="AG189" s="164"/>
      <c r="AH189" s="164"/>
      <c r="AI189" s="164"/>
      <c r="AJ189" s="164"/>
      <c r="AK189" s="164"/>
      <c r="AL189" s="164"/>
      <c r="AM189" s="164"/>
      <c r="AN189" s="164"/>
      <c r="AO189" s="164"/>
      <c r="AP189" s="164"/>
      <c r="AQ189" s="164"/>
      <c r="AR189" s="164"/>
      <c r="AS189" s="164"/>
      <c r="AT189" s="164"/>
      <c r="AU189" s="164"/>
      <c r="AV189" s="164"/>
      <c r="AW189" s="164"/>
      <c r="AX189" s="164"/>
      <c r="AY189" s="164"/>
      <c r="AZ189" s="164"/>
      <c r="BA189" s="164"/>
      <c r="BB189" s="164"/>
      <c r="BC189" s="164"/>
      <c r="BD189" s="164"/>
      <c r="BE189" s="164"/>
      <c r="BF189" s="164"/>
      <c r="BG189" s="164"/>
      <c r="BH189" s="164"/>
      <c r="BI189" s="164"/>
    </row>
    <row r="190" ht="15.75" customHeight="1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  <c r="AD190" s="164"/>
      <c r="AE190" s="164"/>
      <c r="AF190" s="164"/>
      <c r="AG190" s="164"/>
      <c r="AH190" s="164"/>
      <c r="AI190" s="164"/>
      <c r="AJ190" s="164"/>
      <c r="AK190" s="164"/>
      <c r="AL190" s="164"/>
      <c r="AM190" s="164"/>
      <c r="AN190" s="164"/>
      <c r="AO190" s="164"/>
      <c r="AP190" s="164"/>
      <c r="AQ190" s="164"/>
      <c r="AR190" s="164"/>
      <c r="AS190" s="164"/>
      <c r="AT190" s="164"/>
      <c r="AU190" s="164"/>
      <c r="AV190" s="164"/>
      <c r="AW190" s="164"/>
      <c r="AX190" s="164"/>
      <c r="AY190" s="164"/>
      <c r="AZ190" s="164"/>
      <c r="BA190" s="164"/>
      <c r="BB190" s="164"/>
      <c r="BC190" s="164"/>
      <c r="BD190" s="164"/>
      <c r="BE190" s="164"/>
      <c r="BF190" s="164"/>
      <c r="BG190" s="164"/>
      <c r="BH190" s="164"/>
      <c r="BI190" s="164"/>
    </row>
    <row r="191" ht="15.75" customHeight="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  <c r="AD191" s="164"/>
      <c r="AE191" s="164"/>
      <c r="AF191" s="164"/>
      <c r="AG191" s="164"/>
      <c r="AH191" s="164"/>
      <c r="AI191" s="164"/>
      <c r="AJ191" s="164"/>
      <c r="AK191" s="164"/>
      <c r="AL191" s="164"/>
      <c r="AM191" s="164"/>
      <c r="AN191" s="164"/>
      <c r="AO191" s="164"/>
      <c r="AP191" s="164"/>
      <c r="AQ191" s="164"/>
      <c r="AR191" s="164"/>
      <c r="AS191" s="164"/>
      <c r="AT191" s="164"/>
      <c r="AU191" s="164"/>
      <c r="AV191" s="164"/>
      <c r="AW191" s="164"/>
      <c r="AX191" s="164"/>
      <c r="AY191" s="164"/>
      <c r="AZ191" s="164"/>
      <c r="BA191" s="164"/>
      <c r="BB191" s="164"/>
      <c r="BC191" s="164"/>
      <c r="BD191" s="164"/>
      <c r="BE191" s="164"/>
      <c r="BF191" s="164"/>
      <c r="BG191" s="164"/>
      <c r="BH191" s="164"/>
      <c r="BI191" s="164"/>
    </row>
    <row r="192" ht="15.75" customHeight="1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  <c r="AD192" s="164"/>
      <c r="AE192" s="164"/>
      <c r="AF192" s="164"/>
      <c r="AG192" s="164"/>
      <c r="AH192" s="164"/>
      <c r="AI192" s="164"/>
      <c r="AJ192" s="164"/>
      <c r="AK192" s="164"/>
      <c r="AL192" s="164"/>
      <c r="AM192" s="164"/>
      <c r="AN192" s="164"/>
      <c r="AO192" s="164"/>
      <c r="AP192" s="164"/>
      <c r="AQ192" s="164"/>
      <c r="AR192" s="164"/>
      <c r="AS192" s="164"/>
      <c r="AT192" s="164"/>
      <c r="AU192" s="164"/>
      <c r="AV192" s="164"/>
      <c r="AW192" s="164"/>
      <c r="AX192" s="164"/>
      <c r="AY192" s="164"/>
      <c r="AZ192" s="164"/>
      <c r="BA192" s="164"/>
      <c r="BB192" s="164"/>
      <c r="BC192" s="164"/>
      <c r="BD192" s="164"/>
      <c r="BE192" s="164"/>
      <c r="BF192" s="164"/>
      <c r="BG192" s="164"/>
      <c r="BH192" s="164"/>
      <c r="BI192" s="164"/>
    </row>
    <row r="193" ht="15.75" customHeight="1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  <c r="AD193" s="164"/>
      <c r="AE193" s="164"/>
      <c r="AF193" s="164"/>
      <c r="AG193" s="164"/>
      <c r="AH193" s="164"/>
      <c r="AI193" s="164"/>
      <c r="AJ193" s="164"/>
      <c r="AK193" s="164"/>
      <c r="AL193" s="164"/>
      <c r="AM193" s="164"/>
      <c r="AN193" s="164"/>
      <c r="AO193" s="164"/>
      <c r="AP193" s="164"/>
      <c r="AQ193" s="164"/>
      <c r="AR193" s="164"/>
      <c r="AS193" s="164"/>
      <c r="AT193" s="164"/>
      <c r="AU193" s="164"/>
      <c r="AV193" s="164"/>
      <c r="AW193" s="164"/>
      <c r="AX193" s="164"/>
      <c r="AY193" s="164"/>
      <c r="AZ193" s="164"/>
      <c r="BA193" s="164"/>
      <c r="BB193" s="164"/>
      <c r="BC193" s="164"/>
      <c r="BD193" s="164"/>
      <c r="BE193" s="164"/>
      <c r="BF193" s="164"/>
      <c r="BG193" s="164"/>
      <c r="BH193" s="164"/>
      <c r="BI193" s="164"/>
    </row>
    <row r="194" ht="15.75" customHeight="1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  <c r="AD194" s="164"/>
      <c r="AE194" s="164"/>
      <c r="AF194" s="164"/>
      <c r="AG194" s="164"/>
      <c r="AH194" s="164"/>
      <c r="AI194" s="164"/>
      <c r="AJ194" s="164"/>
      <c r="AK194" s="164"/>
      <c r="AL194" s="164"/>
      <c r="AM194" s="164"/>
      <c r="AN194" s="164"/>
      <c r="AO194" s="164"/>
      <c r="AP194" s="164"/>
      <c r="AQ194" s="164"/>
      <c r="AR194" s="164"/>
      <c r="AS194" s="164"/>
      <c r="AT194" s="164"/>
      <c r="AU194" s="164"/>
      <c r="AV194" s="164"/>
      <c r="AW194" s="164"/>
      <c r="AX194" s="164"/>
      <c r="AY194" s="164"/>
      <c r="AZ194" s="164"/>
      <c r="BA194" s="164"/>
      <c r="BB194" s="164"/>
      <c r="BC194" s="164"/>
      <c r="BD194" s="164"/>
      <c r="BE194" s="164"/>
      <c r="BF194" s="164"/>
      <c r="BG194" s="164"/>
      <c r="BH194" s="164"/>
      <c r="BI194" s="164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  <c r="AD195" s="164"/>
      <c r="AE195" s="164"/>
      <c r="AF195" s="164"/>
      <c r="AG195" s="164"/>
      <c r="AH195" s="164"/>
      <c r="AI195" s="164"/>
      <c r="AJ195" s="164"/>
      <c r="AK195" s="164"/>
      <c r="AL195" s="164"/>
      <c r="AM195" s="164"/>
      <c r="AN195" s="164"/>
      <c r="AO195" s="164"/>
      <c r="AP195" s="164"/>
      <c r="AQ195" s="164"/>
      <c r="AR195" s="164"/>
      <c r="AS195" s="164"/>
      <c r="AT195" s="164"/>
      <c r="AU195" s="164"/>
      <c r="AV195" s="164"/>
      <c r="AW195" s="164"/>
      <c r="AX195" s="164"/>
      <c r="AY195" s="164"/>
      <c r="AZ195" s="164"/>
      <c r="BA195" s="164"/>
      <c r="BB195" s="164"/>
      <c r="BC195" s="164"/>
      <c r="BD195" s="164"/>
      <c r="BE195" s="164"/>
      <c r="BF195" s="164"/>
      <c r="BG195" s="164"/>
      <c r="BH195" s="164"/>
      <c r="BI195" s="164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  <c r="AD196" s="164"/>
      <c r="AE196" s="164"/>
      <c r="AF196" s="164"/>
      <c r="AG196" s="164"/>
      <c r="AH196" s="164"/>
      <c r="AI196" s="164"/>
      <c r="AJ196" s="164"/>
      <c r="AK196" s="164"/>
      <c r="AL196" s="164"/>
      <c r="AM196" s="164"/>
      <c r="AN196" s="164"/>
      <c r="AO196" s="164"/>
      <c r="AP196" s="164"/>
      <c r="AQ196" s="164"/>
      <c r="AR196" s="164"/>
      <c r="AS196" s="164"/>
      <c r="AT196" s="164"/>
      <c r="AU196" s="164"/>
      <c r="AV196" s="164"/>
      <c r="AW196" s="164"/>
      <c r="AX196" s="164"/>
      <c r="AY196" s="164"/>
      <c r="AZ196" s="164"/>
      <c r="BA196" s="164"/>
      <c r="BB196" s="164"/>
      <c r="BC196" s="164"/>
      <c r="BD196" s="164"/>
      <c r="BE196" s="164"/>
      <c r="BF196" s="164"/>
      <c r="BG196" s="164"/>
      <c r="BH196" s="164"/>
      <c r="BI196" s="164"/>
    </row>
    <row r="197" ht="15.75" customHeight="1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  <c r="AD197" s="164"/>
      <c r="AE197" s="164"/>
      <c r="AF197" s="164"/>
      <c r="AG197" s="164"/>
      <c r="AH197" s="164"/>
      <c r="AI197" s="164"/>
      <c r="AJ197" s="164"/>
      <c r="AK197" s="164"/>
      <c r="AL197" s="164"/>
      <c r="AM197" s="164"/>
      <c r="AN197" s="164"/>
      <c r="AO197" s="164"/>
      <c r="AP197" s="164"/>
      <c r="AQ197" s="164"/>
      <c r="AR197" s="164"/>
      <c r="AS197" s="164"/>
      <c r="AT197" s="164"/>
      <c r="AU197" s="164"/>
      <c r="AV197" s="164"/>
      <c r="AW197" s="164"/>
      <c r="AX197" s="164"/>
      <c r="AY197" s="164"/>
      <c r="AZ197" s="164"/>
      <c r="BA197" s="164"/>
      <c r="BB197" s="164"/>
      <c r="BC197" s="164"/>
      <c r="BD197" s="164"/>
      <c r="BE197" s="164"/>
      <c r="BF197" s="164"/>
      <c r="BG197" s="164"/>
      <c r="BH197" s="164"/>
      <c r="BI197" s="164"/>
    </row>
    <row r="198" ht="15.75" customHeight="1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  <c r="AD198" s="164"/>
      <c r="AE198" s="164"/>
      <c r="AF198" s="164"/>
      <c r="AG198" s="164"/>
      <c r="AH198" s="164"/>
      <c r="AI198" s="164"/>
      <c r="AJ198" s="164"/>
      <c r="AK198" s="164"/>
      <c r="AL198" s="164"/>
      <c r="AM198" s="164"/>
      <c r="AN198" s="164"/>
      <c r="AO198" s="164"/>
      <c r="AP198" s="164"/>
      <c r="AQ198" s="164"/>
      <c r="AR198" s="164"/>
      <c r="AS198" s="164"/>
      <c r="AT198" s="164"/>
      <c r="AU198" s="164"/>
      <c r="AV198" s="164"/>
      <c r="AW198" s="164"/>
      <c r="AX198" s="164"/>
      <c r="AY198" s="164"/>
      <c r="AZ198" s="164"/>
      <c r="BA198" s="164"/>
      <c r="BB198" s="164"/>
      <c r="BC198" s="164"/>
      <c r="BD198" s="164"/>
      <c r="BE198" s="164"/>
      <c r="BF198" s="164"/>
      <c r="BG198" s="164"/>
      <c r="BH198" s="164"/>
      <c r="BI198" s="164"/>
    </row>
    <row r="199" ht="15.75" customHeight="1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  <c r="AD199" s="164"/>
      <c r="AE199" s="164"/>
      <c r="AF199" s="164"/>
      <c r="AG199" s="164"/>
      <c r="AH199" s="164"/>
      <c r="AI199" s="164"/>
      <c r="AJ199" s="164"/>
      <c r="AK199" s="164"/>
      <c r="AL199" s="164"/>
      <c r="AM199" s="164"/>
      <c r="AN199" s="164"/>
      <c r="AO199" s="164"/>
      <c r="AP199" s="164"/>
      <c r="AQ199" s="164"/>
      <c r="AR199" s="164"/>
      <c r="AS199" s="164"/>
      <c r="AT199" s="164"/>
      <c r="AU199" s="164"/>
      <c r="AV199" s="164"/>
      <c r="AW199" s="164"/>
      <c r="AX199" s="164"/>
      <c r="AY199" s="164"/>
      <c r="AZ199" s="164"/>
      <c r="BA199" s="164"/>
      <c r="BB199" s="164"/>
      <c r="BC199" s="164"/>
      <c r="BD199" s="164"/>
      <c r="BE199" s="164"/>
      <c r="BF199" s="164"/>
      <c r="BG199" s="164"/>
      <c r="BH199" s="164"/>
      <c r="BI199" s="164"/>
    </row>
    <row r="200" ht="15.75" customHeight="1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  <c r="AO200" s="164"/>
      <c r="AP200" s="164"/>
      <c r="AQ200" s="164"/>
      <c r="AR200" s="164"/>
      <c r="AS200" s="164"/>
      <c r="AT200" s="164"/>
      <c r="AU200" s="164"/>
      <c r="AV200" s="164"/>
      <c r="AW200" s="164"/>
      <c r="AX200" s="164"/>
      <c r="AY200" s="164"/>
      <c r="AZ200" s="164"/>
      <c r="BA200" s="164"/>
      <c r="BB200" s="164"/>
      <c r="BC200" s="164"/>
      <c r="BD200" s="164"/>
      <c r="BE200" s="164"/>
      <c r="BF200" s="164"/>
      <c r="BG200" s="164"/>
      <c r="BH200" s="164"/>
      <c r="BI200" s="164"/>
    </row>
    <row r="201" ht="15.75" customHeight="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  <c r="AO201" s="164"/>
      <c r="AP201" s="164"/>
      <c r="AQ201" s="164"/>
      <c r="AR201" s="164"/>
      <c r="AS201" s="164"/>
      <c r="AT201" s="164"/>
      <c r="AU201" s="164"/>
      <c r="AV201" s="164"/>
      <c r="AW201" s="164"/>
      <c r="AX201" s="164"/>
      <c r="AY201" s="164"/>
      <c r="AZ201" s="164"/>
      <c r="BA201" s="164"/>
      <c r="BB201" s="164"/>
      <c r="BC201" s="164"/>
      <c r="BD201" s="164"/>
      <c r="BE201" s="164"/>
      <c r="BF201" s="164"/>
      <c r="BG201" s="164"/>
      <c r="BH201" s="164"/>
      <c r="BI201" s="164"/>
    </row>
    <row r="202" ht="15.75" customHeight="1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  <c r="AE202" s="164"/>
      <c r="AF202" s="164"/>
      <c r="AG202" s="164"/>
      <c r="AH202" s="164"/>
      <c r="AI202" s="164"/>
      <c r="AJ202" s="164"/>
      <c r="AK202" s="164"/>
      <c r="AL202" s="164"/>
      <c r="AM202" s="164"/>
      <c r="AN202" s="164"/>
      <c r="AO202" s="164"/>
      <c r="AP202" s="164"/>
      <c r="AQ202" s="164"/>
      <c r="AR202" s="164"/>
      <c r="AS202" s="164"/>
      <c r="AT202" s="164"/>
      <c r="AU202" s="164"/>
      <c r="AV202" s="164"/>
      <c r="AW202" s="164"/>
      <c r="AX202" s="164"/>
      <c r="AY202" s="164"/>
      <c r="AZ202" s="164"/>
      <c r="BA202" s="164"/>
      <c r="BB202" s="164"/>
      <c r="BC202" s="164"/>
      <c r="BD202" s="164"/>
      <c r="BE202" s="164"/>
      <c r="BF202" s="164"/>
      <c r="BG202" s="164"/>
      <c r="BH202" s="164"/>
      <c r="BI202" s="164"/>
    </row>
    <row r="203" ht="15.75" customHeight="1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  <c r="AE203" s="164"/>
      <c r="AF203" s="164"/>
      <c r="AG203" s="164"/>
      <c r="AH203" s="164"/>
      <c r="AI203" s="164"/>
      <c r="AJ203" s="164"/>
      <c r="AK203" s="164"/>
      <c r="AL203" s="164"/>
      <c r="AM203" s="164"/>
      <c r="AN203" s="164"/>
      <c r="AO203" s="164"/>
      <c r="AP203" s="164"/>
      <c r="AQ203" s="164"/>
      <c r="AR203" s="164"/>
      <c r="AS203" s="164"/>
      <c r="AT203" s="164"/>
      <c r="AU203" s="164"/>
      <c r="AV203" s="164"/>
      <c r="AW203" s="164"/>
      <c r="AX203" s="164"/>
      <c r="AY203" s="164"/>
      <c r="AZ203" s="164"/>
      <c r="BA203" s="164"/>
      <c r="BB203" s="164"/>
      <c r="BC203" s="164"/>
      <c r="BD203" s="164"/>
      <c r="BE203" s="164"/>
      <c r="BF203" s="164"/>
      <c r="BG203" s="164"/>
      <c r="BH203" s="164"/>
      <c r="BI203" s="164"/>
    </row>
    <row r="204" ht="15.75" customHeight="1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  <c r="AD204" s="164"/>
      <c r="AE204" s="164"/>
      <c r="AF204" s="164"/>
      <c r="AG204" s="164"/>
      <c r="AH204" s="164"/>
      <c r="AI204" s="164"/>
      <c r="AJ204" s="164"/>
      <c r="AK204" s="164"/>
      <c r="AL204" s="164"/>
      <c r="AM204" s="164"/>
      <c r="AN204" s="164"/>
      <c r="AO204" s="164"/>
      <c r="AP204" s="164"/>
      <c r="AQ204" s="164"/>
      <c r="AR204" s="164"/>
      <c r="AS204" s="164"/>
      <c r="AT204" s="164"/>
      <c r="AU204" s="164"/>
      <c r="AV204" s="164"/>
      <c r="AW204" s="164"/>
      <c r="AX204" s="164"/>
      <c r="AY204" s="164"/>
      <c r="AZ204" s="164"/>
      <c r="BA204" s="164"/>
      <c r="BB204" s="164"/>
      <c r="BC204" s="164"/>
      <c r="BD204" s="164"/>
      <c r="BE204" s="164"/>
      <c r="BF204" s="164"/>
      <c r="BG204" s="164"/>
      <c r="BH204" s="164"/>
      <c r="BI204" s="164"/>
    </row>
    <row r="205" ht="15.75" customHeight="1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  <c r="AG205" s="164"/>
      <c r="AH205" s="164"/>
      <c r="AI205" s="164"/>
      <c r="AJ205" s="164"/>
      <c r="AK205" s="164"/>
      <c r="AL205" s="164"/>
      <c r="AM205" s="164"/>
      <c r="AN205" s="164"/>
      <c r="AO205" s="164"/>
      <c r="AP205" s="164"/>
      <c r="AQ205" s="164"/>
      <c r="AR205" s="164"/>
      <c r="AS205" s="164"/>
      <c r="AT205" s="164"/>
      <c r="AU205" s="164"/>
      <c r="AV205" s="164"/>
      <c r="AW205" s="164"/>
      <c r="AX205" s="164"/>
      <c r="AY205" s="164"/>
      <c r="AZ205" s="164"/>
      <c r="BA205" s="164"/>
      <c r="BB205" s="164"/>
      <c r="BC205" s="164"/>
      <c r="BD205" s="164"/>
      <c r="BE205" s="164"/>
      <c r="BF205" s="164"/>
      <c r="BG205" s="164"/>
      <c r="BH205" s="164"/>
      <c r="BI205" s="164"/>
    </row>
    <row r="206" ht="15.75" customHeight="1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  <c r="AD206" s="164"/>
      <c r="AE206" s="164"/>
      <c r="AF206" s="164"/>
      <c r="AG206" s="164"/>
      <c r="AH206" s="164"/>
      <c r="AI206" s="164"/>
      <c r="AJ206" s="164"/>
      <c r="AK206" s="164"/>
      <c r="AL206" s="164"/>
      <c r="AM206" s="164"/>
      <c r="AN206" s="164"/>
      <c r="AO206" s="164"/>
      <c r="AP206" s="164"/>
      <c r="AQ206" s="164"/>
      <c r="AR206" s="164"/>
      <c r="AS206" s="164"/>
      <c r="AT206" s="164"/>
      <c r="AU206" s="164"/>
      <c r="AV206" s="164"/>
      <c r="AW206" s="164"/>
      <c r="AX206" s="164"/>
      <c r="AY206" s="164"/>
      <c r="AZ206" s="164"/>
      <c r="BA206" s="164"/>
      <c r="BB206" s="164"/>
      <c r="BC206" s="164"/>
      <c r="BD206" s="164"/>
      <c r="BE206" s="164"/>
      <c r="BF206" s="164"/>
      <c r="BG206" s="164"/>
      <c r="BH206" s="164"/>
      <c r="BI206" s="164"/>
    </row>
    <row r="207" ht="15.75" customHeight="1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  <c r="AD207" s="164"/>
      <c r="AE207" s="164"/>
      <c r="AF207" s="164"/>
      <c r="AG207" s="164"/>
      <c r="AH207" s="164"/>
      <c r="AI207" s="164"/>
      <c r="AJ207" s="164"/>
      <c r="AK207" s="164"/>
      <c r="AL207" s="164"/>
      <c r="AM207" s="164"/>
      <c r="AN207" s="164"/>
      <c r="AO207" s="164"/>
      <c r="AP207" s="164"/>
      <c r="AQ207" s="164"/>
      <c r="AR207" s="164"/>
      <c r="AS207" s="164"/>
      <c r="AT207" s="164"/>
      <c r="AU207" s="164"/>
      <c r="AV207" s="164"/>
      <c r="AW207" s="164"/>
      <c r="AX207" s="164"/>
      <c r="AY207" s="164"/>
      <c r="AZ207" s="164"/>
      <c r="BA207" s="164"/>
      <c r="BB207" s="164"/>
      <c r="BC207" s="164"/>
      <c r="BD207" s="164"/>
      <c r="BE207" s="164"/>
      <c r="BF207" s="164"/>
      <c r="BG207" s="164"/>
      <c r="BH207" s="164"/>
      <c r="BI207" s="164"/>
    </row>
    <row r="208" ht="15.75" customHeight="1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  <c r="AD208" s="164"/>
      <c r="AE208" s="164"/>
      <c r="AF208" s="164"/>
      <c r="AG208" s="164"/>
      <c r="AH208" s="164"/>
      <c r="AI208" s="164"/>
      <c r="AJ208" s="164"/>
      <c r="AK208" s="164"/>
      <c r="AL208" s="164"/>
      <c r="AM208" s="164"/>
      <c r="AN208" s="164"/>
      <c r="AO208" s="164"/>
      <c r="AP208" s="164"/>
      <c r="AQ208" s="164"/>
      <c r="AR208" s="164"/>
      <c r="AS208" s="164"/>
      <c r="AT208" s="164"/>
      <c r="AU208" s="164"/>
      <c r="AV208" s="164"/>
      <c r="AW208" s="164"/>
      <c r="AX208" s="164"/>
      <c r="AY208" s="164"/>
      <c r="AZ208" s="164"/>
      <c r="BA208" s="164"/>
      <c r="BB208" s="164"/>
      <c r="BC208" s="164"/>
      <c r="BD208" s="164"/>
      <c r="BE208" s="164"/>
      <c r="BF208" s="164"/>
      <c r="BG208" s="164"/>
      <c r="BH208" s="164"/>
      <c r="BI208" s="164"/>
    </row>
    <row r="209" ht="15.75" customHeight="1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  <c r="AK209" s="164"/>
      <c r="AL209" s="164"/>
      <c r="AM209" s="164"/>
      <c r="AN209" s="164"/>
      <c r="AO209" s="164"/>
      <c r="AP209" s="164"/>
      <c r="AQ209" s="164"/>
      <c r="AR209" s="164"/>
      <c r="AS209" s="164"/>
      <c r="AT209" s="164"/>
      <c r="AU209" s="164"/>
      <c r="AV209" s="164"/>
      <c r="AW209" s="164"/>
      <c r="AX209" s="164"/>
      <c r="AY209" s="164"/>
      <c r="AZ209" s="164"/>
      <c r="BA209" s="164"/>
      <c r="BB209" s="164"/>
      <c r="BC209" s="164"/>
      <c r="BD209" s="164"/>
      <c r="BE209" s="164"/>
      <c r="BF209" s="164"/>
      <c r="BG209" s="164"/>
      <c r="BH209" s="164"/>
      <c r="BI209" s="164"/>
    </row>
    <row r="210" ht="15.75" customHeight="1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  <c r="AE210" s="164"/>
      <c r="AF210" s="164"/>
      <c r="AG210" s="164"/>
      <c r="AH210" s="164"/>
      <c r="AI210" s="164"/>
      <c r="AJ210" s="164"/>
      <c r="AK210" s="164"/>
      <c r="AL210" s="164"/>
      <c r="AM210" s="164"/>
      <c r="AN210" s="164"/>
      <c r="AO210" s="164"/>
      <c r="AP210" s="164"/>
      <c r="AQ210" s="164"/>
      <c r="AR210" s="164"/>
      <c r="AS210" s="164"/>
      <c r="AT210" s="164"/>
      <c r="AU210" s="164"/>
      <c r="AV210" s="164"/>
      <c r="AW210" s="164"/>
      <c r="AX210" s="164"/>
      <c r="AY210" s="164"/>
      <c r="AZ210" s="164"/>
      <c r="BA210" s="164"/>
      <c r="BB210" s="164"/>
      <c r="BC210" s="164"/>
      <c r="BD210" s="164"/>
      <c r="BE210" s="164"/>
      <c r="BF210" s="164"/>
      <c r="BG210" s="164"/>
      <c r="BH210" s="164"/>
      <c r="BI210" s="164"/>
    </row>
    <row r="211" ht="15.75" customHeight="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  <c r="AD211" s="164"/>
      <c r="AE211" s="164"/>
      <c r="AF211" s="164"/>
      <c r="AG211" s="164"/>
      <c r="AH211" s="164"/>
      <c r="AI211" s="164"/>
      <c r="AJ211" s="164"/>
      <c r="AK211" s="164"/>
      <c r="AL211" s="164"/>
      <c r="AM211" s="164"/>
      <c r="AN211" s="164"/>
      <c r="AO211" s="164"/>
      <c r="AP211" s="164"/>
      <c r="AQ211" s="164"/>
      <c r="AR211" s="164"/>
      <c r="AS211" s="164"/>
      <c r="AT211" s="164"/>
      <c r="AU211" s="164"/>
      <c r="AV211" s="164"/>
      <c r="AW211" s="164"/>
      <c r="AX211" s="164"/>
      <c r="AY211" s="164"/>
      <c r="AZ211" s="164"/>
      <c r="BA211" s="164"/>
      <c r="BB211" s="164"/>
      <c r="BC211" s="164"/>
      <c r="BD211" s="164"/>
      <c r="BE211" s="164"/>
      <c r="BF211" s="164"/>
      <c r="BG211" s="164"/>
      <c r="BH211" s="164"/>
      <c r="BI211" s="164"/>
    </row>
    <row r="212" ht="15.75" customHeight="1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  <c r="AD212" s="164"/>
      <c r="AE212" s="164"/>
      <c r="AF212" s="164"/>
      <c r="AG212" s="164"/>
      <c r="AH212" s="164"/>
      <c r="AI212" s="164"/>
      <c r="AJ212" s="164"/>
      <c r="AK212" s="164"/>
      <c r="AL212" s="164"/>
      <c r="AM212" s="164"/>
      <c r="AN212" s="164"/>
      <c r="AO212" s="164"/>
      <c r="AP212" s="164"/>
      <c r="AQ212" s="164"/>
      <c r="AR212" s="164"/>
      <c r="AS212" s="164"/>
      <c r="AT212" s="164"/>
      <c r="AU212" s="164"/>
      <c r="AV212" s="164"/>
      <c r="AW212" s="164"/>
      <c r="AX212" s="164"/>
      <c r="AY212" s="164"/>
      <c r="AZ212" s="164"/>
      <c r="BA212" s="164"/>
      <c r="BB212" s="164"/>
      <c r="BC212" s="164"/>
      <c r="BD212" s="164"/>
      <c r="BE212" s="164"/>
      <c r="BF212" s="164"/>
      <c r="BG212" s="164"/>
      <c r="BH212" s="164"/>
      <c r="BI212" s="164"/>
    </row>
    <row r="213" ht="15.75" customHeight="1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  <c r="AD213" s="164"/>
      <c r="AE213" s="164"/>
      <c r="AF213" s="164"/>
      <c r="AG213" s="164"/>
      <c r="AH213" s="164"/>
      <c r="AI213" s="164"/>
      <c r="AJ213" s="164"/>
      <c r="AK213" s="164"/>
      <c r="AL213" s="164"/>
      <c r="AM213" s="164"/>
      <c r="AN213" s="164"/>
      <c r="AO213" s="164"/>
      <c r="AP213" s="164"/>
      <c r="AQ213" s="164"/>
      <c r="AR213" s="164"/>
      <c r="AS213" s="164"/>
      <c r="AT213" s="164"/>
      <c r="AU213" s="164"/>
      <c r="AV213" s="164"/>
      <c r="AW213" s="164"/>
      <c r="AX213" s="164"/>
      <c r="AY213" s="164"/>
      <c r="AZ213" s="164"/>
      <c r="BA213" s="164"/>
      <c r="BB213" s="164"/>
      <c r="BC213" s="164"/>
      <c r="BD213" s="164"/>
      <c r="BE213" s="164"/>
      <c r="BF213" s="164"/>
      <c r="BG213" s="164"/>
      <c r="BH213" s="164"/>
      <c r="BI213" s="164"/>
    </row>
    <row r="214" ht="15.75" customHeight="1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  <c r="AE214" s="164"/>
      <c r="AF214" s="164"/>
      <c r="AG214" s="164"/>
      <c r="AH214" s="164"/>
      <c r="AI214" s="164"/>
      <c r="AJ214" s="164"/>
      <c r="AK214" s="164"/>
      <c r="AL214" s="164"/>
      <c r="AM214" s="164"/>
      <c r="AN214" s="164"/>
      <c r="AO214" s="164"/>
      <c r="AP214" s="164"/>
      <c r="AQ214" s="164"/>
      <c r="AR214" s="164"/>
      <c r="AS214" s="164"/>
      <c r="AT214" s="164"/>
      <c r="AU214" s="164"/>
      <c r="AV214" s="164"/>
      <c r="AW214" s="164"/>
      <c r="AX214" s="164"/>
      <c r="AY214" s="164"/>
      <c r="AZ214" s="164"/>
      <c r="BA214" s="164"/>
      <c r="BB214" s="164"/>
      <c r="BC214" s="164"/>
      <c r="BD214" s="164"/>
      <c r="BE214" s="164"/>
      <c r="BF214" s="164"/>
      <c r="BG214" s="164"/>
      <c r="BH214" s="164"/>
      <c r="BI214" s="164"/>
    </row>
    <row r="215" ht="15.75" customHeight="1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  <c r="AD215" s="164"/>
      <c r="AE215" s="164"/>
      <c r="AF215" s="164"/>
      <c r="AG215" s="164"/>
      <c r="AH215" s="164"/>
      <c r="AI215" s="164"/>
      <c r="AJ215" s="164"/>
      <c r="AK215" s="164"/>
      <c r="AL215" s="164"/>
      <c r="AM215" s="164"/>
      <c r="AN215" s="164"/>
      <c r="AO215" s="164"/>
      <c r="AP215" s="164"/>
      <c r="AQ215" s="164"/>
      <c r="AR215" s="164"/>
      <c r="AS215" s="164"/>
      <c r="AT215" s="164"/>
      <c r="AU215" s="164"/>
      <c r="AV215" s="164"/>
      <c r="AW215" s="164"/>
      <c r="AX215" s="164"/>
      <c r="AY215" s="164"/>
      <c r="AZ215" s="164"/>
      <c r="BA215" s="164"/>
      <c r="BB215" s="164"/>
      <c r="BC215" s="164"/>
      <c r="BD215" s="164"/>
      <c r="BE215" s="164"/>
      <c r="BF215" s="164"/>
      <c r="BG215" s="164"/>
      <c r="BH215" s="164"/>
      <c r="BI215" s="164"/>
    </row>
    <row r="216" ht="15.75" customHeight="1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  <c r="AD216" s="164"/>
      <c r="AE216" s="164"/>
      <c r="AF216" s="164"/>
      <c r="AG216" s="164"/>
      <c r="AH216" s="164"/>
      <c r="AI216" s="164"/>
      <c r="AJ216" s="164"/>
      <c r="AK216" s="164"/>
      <c r="AL216" s="164"/>
      <c r="AM216" s="164"/>
      <c r="AN216" s="164"/>
      <c r="AO216" s="164"/>
      <c r="AP216" s="164"/>
      <c r="AQ216" s="164"/>
      <c r="AR216" s="164"/>
      <c r="AS216" s="164"/>
      <c r="AT216" s="164"/>
      <c r="AU216" s="164"/>
      <c r="AV216" s="164"/>
      <c r="AW216" s="164"/>
      <c r="AX216" s="164"/>
      <c r="AY216" s="164"/>
      <c r="AZ216" s="164"/>
      <c r="BA216" s="164"/>
      <c r="BB216" s="164"/>
      <c r="BC216" s="164"/>
      <c r="BD216" s="164"/>
      <c r="BE216" s="164"/>
      <c r="BF216" s="164"/>
      <c r="BG216" s="164"/>
      <c r="BH216" s="164"/>
      <c r="BI216" s="164"/>
    </row>
    <row r="217" ht="15.75" customHeight="1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  <c r="AD217" s="164"/>
      <c r="AE217" s="164"/>
      <c r="AF217" s="164"/>
      <c r="AG217" s="164"/>
      <c r="AH217" s="164"/>
      <c r="AI217" s="164"/>
      <c r="AJ217" s="164"/>
      <c r="AK217" s="164"/>
      <c r="AL217" s="164"/>
      <c r="AM217" s="164"/>
      <c r="AN217" s="164"/>
      <c r="AO217" s="164"/>
      <c r="AP217" s="164"/>
      <c r="AQ217" s="164"/>
      <c r="AR217" s="164"/>
      <c r="AS217" s="164"/>
      <c r="AT217" s="164"/>
      <c r="AU217" s="164"/>
      <c r="AV217" s="164"/>
      <c r="AW217" s="164"/>
      <c r="AX217" s="164"/>
      <c r="AY217" s="164"/>
      <c r="AZ217" s="164"/>
      <c r="BA217" s="164"/>
      <c r="BB217" s="164"/>
      <c r="BC217" s="164"/>
      <c r="BD217" s="164"/>
      <c r="BE217" s="164"/>
      <c r="BF217" s="164"/>
      <c r="BG217" s="164"/>
      <c r="BH217" s="164"/>
      <c r="BI217" s="164"/>
    </row>
    <row r="218" ht="15.75" customHeight="1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  <c r="AD218" s="164"/>
      <c r="AE218" s="164"/>
      <c r="AF218" s="164"/>
      <c r="AG218" s="164"/>
      <c r="AH218" s="164"/>
      <c r="AI218" s="164"/>
      <c r="AJ218" s="164"/>
      <c r="AK218" s="164"/>
      <c r="AL218" s="164"/>
      <c r="AM218" s="164"/>
      <c r="AN218" s="164"/>
      <c r="AO218" s="164"/>
      <c r="AP218" s="164"/>
      <c r="AQ218" s="164"/>
      <c r="AR218" s="164"/>
      <c r="AS218" s="164"/>
      <c r="AT218" s="164"/>
      <c r="AU218" s="164"/>
      <c r="AV218" s="164"/>
      <c r="AW218" s="164"/>
      <c r="AX218" s="164"/>
      <c r="AY218" s="164"/>
      <c r="AZ218" s="164"/>
      <c r="BA218" s="164"/>
      <c r="BB218" s="164"/>
      <c r="BC218" s="164"/>
      <c r="BD218" s="164"/>
      <c r="BE218" s="164"/>
      <c r="BF218" s="164"/>
      <c r="BG218" s="164"/>
      <c r="BH218" s="164"/>
      <c r="BI218" s="164"/>
    </row>
    <row r="219" ht="15.75" customHeight="1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  <c r="AD219" s="164"/>
      <c r="AE219" s="164"/>
      <c r="AF219" s="164"/>
      <c r="AG219" s="164"/>
      <c r="AH219" s="164"/>
      <c r="AI219" s="164"/>
      <c r="AJ219" s="164"/>
      <c r="AK219" s="164"/>
      <c r="AL219" s="164"/>
      <c r="AM219" s="164"/>
      <c r="AN219" s="164"/>
      <c r="AO219" s="164"/>
      <c r="AP219" s="164"/>
      <c r="AQ219" s="164"/>
      <c r="AR219" s="164"/>
      <c r="AS219" s="164"/>
      <c r="AT219" s="164"/>
      <c r="AU219" s="164"/>
      <c r="AV219" s="164"/>
      <c r="AW219" s="164"/>
      <c r="AX219" s="164"/>
      <c r="AY219" s="164"/>
      <c r="AZ219" s="164"/>
      <c r="BA219" s="164"/>
      <c r="BB219" s="164"/>
      <c r="BC219" s="164"/>
      <c r="BD219" s="164"/>
      <c r="BE219" s="164"/>
      <c r="BF219" s="164"/>
      <c r="BG219" s="164"/>
      <c r="BH219" s="164"/>
      <c r="BI219" s="164"/>
    </row>
    <row r="220" ht="15.75" customHeight="1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  <c r="AD220" s="164"/>
      <c r="AE220" s="164"/>
      <c r="AF220" s="164"/>
      <c r="AG220" s="164"/>
      <c r="AH220" s="164"/>
      <c r="AI220" s="164"/>
      <c r="AJ220" s="164"/>
      <c r="AK220" s="164"/>
      <c r="AL220" s="164"/>
      <c r="AM220" s="164"/>
      <c r="AN220" s="164"/>
      <c r="AO220" s="164"/>
      <c r="AP220" s="164"/>
      <c r="AQ220" s="164"/>
      <c r="AR220" s="164"/>
      <c r="AS220" s="164"/>
      <c r="AT220" s="164"/>
      <c r="AU220" s="164"/>
      <c r="AV220" s="164"/>
      <c r="AW220" s="164"/>
      <c r="AX220" s="164"/>
      <c r="AY220" s="164"/>
      <c r="AZ220" s="164"/>
      <c r="BA220" s="164"/>
      <c r="BB220" s="164"/>
      <c r="BC220" s="164"/>
      <c r="BD220" s="164"/>
      <c r="BE220" s="164"/>
      <c r="BF220" s="164"/>
      <c r="BG220" s="164"/>
      <c r="BH220" s="164"/>
      <c r="BI220" s="164"/>
    </row>
    <row r="221" ht="15.75" customHeight="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  <c r="AD221" s="164"/>
      <c r="AE221" s="164"/>
      <c r="AF221" s="164"/>
      <c r="AG221" s="164"/>
      <c r="AH221" s="164"/>
      <c r="AI221" s="164"/>
      <c r="AJ221" s="164"/>
      <c r="AK221" s="164"/>
      <c r="AL221" s="164"/>
      <c r="AM221" s="164"/>
      <c r="AN221" s="164"/>
      <c r="AO221" s="164"/>
      <c r="AP221" s="164"/>
      <c r="AQ221" s="164"/>
      <c r="AR221" s="164"/>
      <c r="AS221" s="164"/>
      <c r="AT221" s="164"/>
      <c r="AU221" s="164"/>
      <c r="AV221" s="164"/>
      <c r="AW221" s="164"/>
      <c r="AX221" s="164"/>
      <c r="AY221" s="164"/>
      <c r="AZ221" s="164"/>
      <c r="BA221" s="164"/>
      <c r="BB221" s="164"/>
      <c r="BC221" s="164"/>
      <c r="BD221" s="164"/>
      <c r="BE221" s="164"/>
      <c r="BF221" s="164"/>
      <c r="BG221" s="164"/>
      <c r="BH221" s="164"/>
      <c r="BI221" s="164"/>
    </row>
    <row r="222" ht="15.75" customHeight="1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  <c r="AE222" s="164"/>
      <c r="AF222" s="164"/>
      <c r="AG222" s="164"/>
      <c r="AH222" s="164"/>
      <c r="AI222" s="164"/>
      <c r="AJ222" s="164"/>
      <c r="AK222" s="164"/>
      <c r="AL222" s="164"/>
      <c r="AM222" s="164"/>
      <c r="AN222" s="164"/>
      <c r="AO222" s="164"/>
      <c r="AP222" s="164"/>
      <c r="AQ222" s="164"/>
      <c r="AR222" s="164"/>
      <c r="AS222" s="164"/>
      <c r="AT222" s="164"/>
      <c r="AU222" s="164"/>
      <c r="AV222" s="164"/>
      <c r="AW222" s="164"/>
      <c r="AX222" s="164"/>
      <c r="AY222" s="164"/>
      <c r="AZ222" s="164"/>
      <c r="BA222" s="164"/>
      <c r="BB222" s="164"/>
      <c r="BC222" s="164"/>
      <c r="BD222" s="164"/>
      <c r="BE222" s="164"/>
      <c r="BF222" s="164"/>
      <c r="BG222" s="164"/>
      <c r="BH222" s="164"/>
      <c r="BI222" s="164"/>
    </row>
    <row r="223" ht="15.75" customHeight="1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  <c r="AE223" s="164"/>
      <c r="AF223" s="164"/>
      <c r="AG223" s="164"/>
      <c r="AH223" s="164"/>
      <c r="AI223" s="164"/>
      <c r="AJ223" s="164"/>
      <c r="AK223" s="164"/>
      <c r="AL223" s="164"/>
      <c r="AM223" s="164"/>
      <c r="AN223" s="164"/>
      <c r="AO223" s="164"/>
      <c r="AP223" s="164"/>
      <c r="AQ223" s="164"/>
      <c r="AR223" s="164"/>
      <c r="AS223" s="164"/>
      <c r="AT223" s="164"/>
      <c r="AU223" s="164"/>
      <c r="AV223" s="164"/>
      <c r="AW223" s="164"/>
      <c r="AX223" s="164"/>
      <c r="AY223" s="164"/>
      <c r="AZ223" s="164"/>
      <c r="BA223" s="164"/>
      <c r="BB223" s="164"/>
      <c r="BC223" s="164"/>
      <c r="BD223" s="164"/>
      <c r="BE223" s="164"/>
      <c r="BF223" s="164"/>
      <c r="BG223" s="164"/>
      <c r="BH223" s="164"/>
      <c r="BI223" s="164"/>
    </row>
    <row r="224" ht="15.75" customHeight="1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  <c r="AE224" s="164"/>
      <c r="AF224" s="164"/>
      <c r="AG224" s="164"/>
      <c r="AH224" s="164"/>
      <c r="AI224" s="164"/>
      <c r="AJ224" s="164"/>
      <c r="AK224" s="164"/>
      <c r="AL224" s="164"/>
      <c r="AM224" s="164"/>
      <c r="AN224" s="164"/>
      <c r="AO224" s="164"/>
      <c r="AP224" s="164"/>
      <c r="AQ224" s="164"/>
      <c r="AR224" s="164"/>
      <c r="AS224" s="164"/>
      <c r="AT224" s="164"/>
      <c r="AU224" s="164"/>
      <c r="AV224" s="164"/>
      <c r="AW224" s="164"/>
      <c r="AX224" s="164"/>
      <c r="AY224" s="164"/>
      <c r="AZ224" s="164"/>
      <c r="BA224" s="164"/>
      <c r="BB224" s="164"/>
      <c r="BC224" s="164"/>
      <c r="BD224" s="164"/>
      <c r="BE224" s="164"/>
      <c r="BF224" s="164"/>
      <c r="BG224" s="164"/>
      <c r="BH224" s="164"/>
      <c r="BI224" s="164"/>
    </row>
    <row r="225" ht="15.75" customHeight="1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  <c r="AD225" s="164"/>
      <c r="AE225" s="164"/>
      <c r="AF225" s="164"/>
      <c r="AG225" s="164"/>
      <c r="AH225" s="164"/>
      <c r="AI225" s="164"/>
      <c r="AJ225" s="164"/>
      <c r="AK225" s="164"/>
      <c r="AL225" s="164"/>
      <c r="AM225" s="164"/>
      <c r="AN225" s="164"/>
      <c r="AO225" s="164"/>
      <c r="AP225" s="164"/>
      <c r="AQ225" s="164"/>
      <c r="AR225" s="164"/>
      <c r="AS225" s="164"/>
      <c r="AT225" s="164"/>
      <c r="AU225" s="164"/>
      <c r="AV225" s="164"/>
      <c r="AW225" s="164"/>
      <c r="AX225" s="164"/>
      <c r="AY225" s="164"/>
      <c r="AZ225" s="164"/>
      <c r="BA225" s="164"/>
      <c r="BB225" s="164"/>
      <c r="BC225" s="164"/>
      <c r="BD225" s="164"/>
      <c r="BE225" s="164"/>
      <c r="BF225" s="164"/>
      <c r="BG225" s="164"/>
      <c r="BH225" s="164"/>
      <c r="BI225" s="164"/>
    </row>
    <row r="226" ht="15.75" customHeight="1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  <c r="AD226" s="164"/>
      <c r="AE226" s="164"/>
      <c r="AF226" s="164"/>
      <c r="AG226" s="164"/>
      <c r="AH226" s="164"/>
      <c r="AI226" s="164"/>
      <c r="AJ226" s="164"/>
      <c r="AK226" s="164"/>
      <c r="AL226" s="164"/>
      <c r="AM226" s="164"/>
      <c r="AN226" s="164"/>
      <c r="AO226" s="164"/>
      <c r="AP226" s="164"/>
      <c r="AQ226" s="164"/>
      <c r="AR226" s="164"/>
      <c r="AS226" s="164"/>
      <c r="AT226" s="164"/>
      <c r="AU226" s="164"/>
      <c r="AV226" s="164"/>
      <c r="AW226" s="164"/>
      <c r="AX226" s="164"/>
      <c r="AY226" s="164"/>
      <c r="AZ226" s="164"/>
      <c r="BA226" s="164"/>
      <c r="BB226" s="164"/>
      <c r="BC226" s="164"/>
      <c r="BD226" s="164"/>
      <c r="BE226" s="164"/>
      <c r="BF226" s="164"/>
      <c r="BG226" s="164"/>
      <c r="BH226" s="164"/>
      <c r="BI226" s="164"/>
    </row>
    <row r="227" ht="15.75" customHeight="1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  <c r="AD227" s="164"/>
      <c r="AE227" s="164"/>
      <c r="AF227" s="164"/>
      <c r="AG227" s="164"/>
      <c r="AH227" s="164"/>
      <c r="AI227" s="164"/>
      <c r="AJ227" s="164"/>
      <c r="AK227" s="164"/>
      <c r="AL227" s="164"/>
      <c r="AM227" s="164"/>
      <c r="AN227" s="164"/>
      <c r="AO227" s="164"/>
      <c r="AP227" s="164"/>
      <c r="AQ227" s="164"/>
      <c r="AR227" s="164"/>
      <c r="AS227" s="164"/>
      <c r="AT227" s="164"/>
      <c r="AU227" s="164"/>
      <c r="AV227" s="164"/>
      <c r="AW227" s="164"/>
      <c r="AX227" s="164"/>
      <c r="AY227" s="164"/>
      <c r="AZ227" s="164"/>
      <c r="BA227" s="164"/>
      <c r="BB227" s="164"/>
      <c r="BC227" s="164"/>
      <c r="BD227" s="164"/>
      <c r="BE227" s="164"/>
      <c r="BF227" s="164"/>
      <c r="BG227" s="164"/>
      <c r="BH227" s="164"/>
      <c r="BI227" s="164"/>
    </row>
    <row r="228" ht="15.75" customHeight="1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  <c r="AE228" s="164"/>
      <c r="AF228" s="164"/>
      <c r="AG228" s="164"/>
      <c r="AH228" s="164"/>
      <c r="AI228" s="164"/>
      <c r="AJ228" s="164"/>
      <c r="AK228" s="164"/>
      <c r="AL228" s="164"/>
      <c r="AM228" s="164"/>
      <c r="AN228" s="164"/>
      <c r="AO228" s="164"/>
      <c r="AP228" s="164"/>
      <c r="AQ228" s="164"/>
      <c r="AR228" s="164"/>
      <c r="AS228" s="164"/>
      <c r="AT228" s="164"/>
      <c r="AU228" s="164"/>
      <c r="AV228" s="164"/>
      <c r="AW228" s="164"/>
      <c r="AX228" s="164"/>
      <c r="AY228" s="164"/>
      <c r="AZ228" s="164"/>
      <c r="BA228" s="164"/>
      <c r="BB228" s="164"/>
      <c r="BC228" s="164"/>
      <c r="BD228" s="164"/>
      <c r="BE228" s="164"/>
      <c r="BF228" s="164"/>
      <c r="BG228" s="164"/>
      <c r="BH228" s="164"/>
      <c r="BI228" s="164"/>
    </row>
    <row r="229" ht="15.75" customHeight="1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  <c r="AE229" s="164"/>
      <c r="AF229" s="164"/>
      <c r="AG229" s="164"/>
      <c r="AH229" s="164"/>
      <c r="AI229" s="164"/>
      <c r="AJ229" s="164"/>
      <c r="AK229" s="164"/>
      <c r="AL229" s="164"/>
      <c r="AM229" s="164"/>
      <c r="AN229" s="164"/>
      <c r="AO229" s="164"/>
      <c r="AP229" s="164"/>
      <c r="AQ229" s="164"/>
      <c r="AR229" s="164"/>
      <c r="AS229" s="164"/>
      <c r="AT229" s="164"/>
      <c r="AU229" s="164"/>
      <c r="AV229" s="164"/>
      <c r="AW229" s="164"/>
      <c r="AX229" s="164"/>
      <c r="AY229" s="164"/>
      <c r="AZ229" s="164"/>
      <c r="BA229" s="164"/>
      <c r="BB229" s="164"/>
      <c r="BC229" s="164"/>
      <c r="BD229" s="164"/>
      <c r="BE229" s="164"/>
      <c r="BF229" s="164"/>
      <c r="BG229" s="164"/>
      <c r="BH229" s="164"/>
      <c r="BI229" s="164"/>
    </row>
    <row r="230" ht="15.75" customHeight="1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  <c r="AD230" s="164"/>
      <c r="AE230" s="164"/>
      <c r="AF230" s="164"/>
      <c r="AG230" s="164"/>
      <c r="AH230" s="164"/>
      <c r="AI230" s="164"/>
      <c r="AJ230" s="164"/>
      <c r="AK230" s="164"/>
      <c r="AL230" s="164"/>
      <c r="AM230" s="164"/>
      <c r="AN230" s="164"/>
      <c r="AO230" s="164"/>
      <c r="AP230" s="164"/>
      <c r="AQ230" s="164"/>
      <c r="AR230" s="164"/>
      <c r="AS230" s="164"/>
      <c r="AT230" s="164"/>
      <c r="AU230" s="164"/>
      <c r="AV230" s="164"/>
      <c r="AW230" s="164"/>
      <c r="AX230" s="164"/>
      <c r="AY230" s="164"/>
      <c r="AZ230" s="164"/>
      <c r="BA230" s="164"/>
      <c r="BB230" s="164"/>
      <c r="BC230" s="164"/>
      <c r="BD230" s="164"/>
      <c r="BE230" s="164"/>
      <c r="BF230" s="164"/>
      <c r="BG230" s="164"/>
      <c r="BH230" s="164"/>
      <c r="BI230" s="164"/>
    </row>
    <row r="231" ht="15.75" customHeight="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  <c r="AD231" s="164"/>
      <c r="AE231" s="164"/>
      <c r="AF231" s="164"/>
      <c r="AG231" s="164"/>
      <c r="AH231" s="164"/>
      <c r="AI231" s="164"/>
      <c r="AJ231" s="164"/>
      <c r="AK231" s="164"/>
      <c r="AL231" s="164"/>
      <c r="AM231" s="164"/>
      <c r="AN231" s="164"/>
      <c r="AO231" s="164"/>
      <c r="AP231" s="164"/>
      <c r="AQ231" s="164"/>
      <c r="AR231" s="164"/>
      <c r="AS231" s="164"/>
      <c r="AT231" s="164"/>
      <c r="AU231" s="164"/>
      <c r="AV231" s="164"/>
      <c r="AW231" s="164"/>
      <c r="AX231" s="164"/>
      <c r="AY231" s="164"/>
      <c r="AZ231" s="164"/>
      <c r="BA231" s="164"/>
      <c r="BB231" s="164"/>
      <c r="BC231" s="164"/>
      <c r="BD231" s="164"/>
      <c r="BE231" s="164"/>
      <c r="BF231" s="164"/>
      <c r="BG231" s="164"/>
      <c r="BH231" s="164"/>
      <c r="BI231" s="164"/>
    </row>
    <row r="232" ht="15.75" customHeight="1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  <c r="AD232" s="164"/>
      <c r="AE232" s="164"/>
      <c r="AF232" s="164"/>
      <c r="AG232" s="164"/>
      <c r="AH232" s="164"/>
      <c r="AI232" s="164"/>
      <c r="AJ232" s="164"/>
      <c r="AK232" s="164"/>
      <c r="AL232" s="164"/>
      <c r="AM232" s="164"/>
      <c r="AN232" s="164"/>
      <c r="AO232" s="164"/>
      <c r="AP232" s="164"/>
      <c r="AQ232" s="164"/>
      <c r="AR232" s="164"/>
      <c r="AS232" s="164"/>
      <c r="AT232" s="164"/>
      <c r="AU232" s="164"/>
      <c r="AV232" s="164"/>
      <c r="AW232" s="164"/>
      <c r="AX232" s="164"/>
      <c r="AY232" s="164"/>
      <c r="AZ232" s="164"/>
      <c r="BA232" s="164"/>
      <c r="BB232" s="164"/>
      <c r="BC232" s="164"/>
      <c r="BD232" s="164"/>
      <c r="BE232" s="164"/>
      <c r="BF232" s="164"/>
      <c r="BG232" s="164"/>
      <c r="BH232" s="164"/>
      <c r="BI232" s="164"/>
    </row>
    <row r="233" ht="15.75" customHeight="1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  <c r="AD233" s="164"/>
      <c r="AE233" s="164"/>
      <c r="AF233" s="164"/>
      <c r="AG233" s="164"/>
      <c r="AH233" s="164"/>
      <c r="AI233" s="164"/>
      <c r="AJ233" s="164"/>
      <c r="AK233" s="164"/>
      <c r="AL233" s="164"/>
      <c r="AM233" s="164"/>
      <c r="AN233" s="164"/>
      <c r="AO233" s="164"/>
      <c r="AP233" s="164"/>
      <c r="AQ233" s="164"/>
      <c r="AR233" s="164"/>
      <c r="AS233" s="164"/>
      <c r="AT233" s="164"/>
      <c r="AU233" s="164"/>
      <c r="AV233" s="164"/>
      <c r="AW233" s="164"/>
      <c r="AX233" s="164"/>
      <c r="AY233" s="164"/>
      <c r="AZ233" s="164"/>
      <c r="BA233" s="164"/>
      <c r="BB233" s="164"/>
      <c r="BC233" s="164"/>
      <c r="BD233" s="164"/>
      <c r="BE233" s="164"/>
      <c r="BF233" s="164"/>
      <c r="BG233" s="164"/>
      <c r="BH233" s="164"/>
      <c r="BI233" s="164"/>
    </row>
    <row r="234" ht="15.75" customHeight="1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  <c r="AD234" s="164"/>
      <c r="AE234" s="164"/>
      <c r="AF234" s="164"/>
      <c r="AG234" s="164"/>
      <c r="AH234" s="164"/>
      <c r="AI234" s="164"/>
      <c r="AJ234" s="164"/>
      <c r="AK234" s="164"/>
      <c r="AL234" s="164"/>
      <c r="AM234" s="164"/>
      <c r="AN234" s="164"/>
      <c r="AO234" s="164"/>
      <c r="AP234" s="164"/>
      <c r="AQ234" s="164"/>
      <c r="AR234" s="164"/>
      <c r="AS234" s="164"/>
      <c r="AT234" s="164"/>
      <c r="AU234" s="164"/>
      <c r="AV234" s="164"/>
      <c r="AW234" s="164"/>
      <c r="AX234" s="164"/>
      <c r="AY234" s="164"/>
      <c r="AZ234" s="164"/>
      <c r="BA234" s="164"/>
      <c r="BB234" s="164"/>
      <c r="BC234" s="164"/>
      <c r="BD234" s="164"/>
      <c r="BE234" s="164"/>
      <c r="BF234" s="164"/>
      <c r="BG234" s="164"/>
      <c r="BH234" s="164"/>
      <c r="BI234" s="164"/>
    </row>
    <row r="235" ht="15.75" customHeight="1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  <c r="AD235" s="164"/>
      <c r="AE235" s="164"/>
      <c r="AF235" s="164"/>
      <c r="AG235" s="164"/>
      <c r="AH235" s="164"/>
      <c r="AI235" s="164"/>
      <c r="AJ235" s="164"/>
      <c r="AK235" s="164"/>
      <c r="AL235" s="164"/>
      <c r="AM235" s="164"/>
      <c r="AN235" s="164"/>
      <c r="AO235" s="164"/>
      <c r="AP235" s="164"/>
      <c r="AQ235" s="164"/>
      <c r="AR235" s="164"/>
      <c r="AS235" s="164"/>
      <c r="AT235" s="164"/>
      <c r="AU235" s="164"/>
      <c r="AV235" s="164"/>
      <c r="AW235" s="164"/>
      <c r="AX235" s="164"/>
      <c r="AY235" s="164"/>
      <c r="AZ235" s="164"/>
      <c r="BA235" s="164"/>
      <c r="BB235" s="164"/>
      <c r="BC235" s="164"/>
      <c r="BD235" s="164"/>
      <c r="BE235" s="164"/>
      <c r="BF235" s="164"/>
      <c r="BG235" s="164"/>
      <c r="BH235" s="164"/>
      <c r="BI235" s="164"/>
    </row>
    <row r="236" ht="15.75" customHeight="1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  <c r="AD236" s="164"/>
      <c r="AE236" s="164"/>
      <c r="AF236" s="164"/>
      <c r="AG236" s="164"/>
      <c r="AH236" s="164"/>
      <c r="AI236" s="164"/>
      <c r="AJ236" s="164"/>
      <c r="AK236" s="164"/>
      <c r="AL236" s="164"/>
      <c r="AM236" s="164"/>
      <c r="AN236" s="164"/>
      <c r="AO236" s="164"/>
      <c r="AP236" s="164"/>
      <c r="AQ236" s="164"/>
      <c r="AR236" s="164"/>
      <c r="AS236" s="164"/>
      <c r="AT236" s="164"/>
      <c r="AU236" s="164"/>
      <c r="AV236" s="164"/>
      <c r="AW236" s="164"/>
      <c r="AX236" s="164"/>
      <c r="AY236" s="164"/>
      <c r="AZ236" s="164"/>
      <c r="BA236" s="164"/>
      <c r="BB236" s="164"/>
      <c r="BC236" s="164"/>
      <c r="BD236" s="164"/>
      <c r="BE236" s="164"/>
      <c r="BF236" s="164"/>
      <c r="BG236" s="164"/>
      <c r="BH236" s="164"/>
      <c r="BI236" s="164"/>
    </row>
    <row r="237" ht="15.75" customHeight="1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  <c r="AD237" s="164"/>
      <c r="AE237" s="164"/>
      <c r="AF237" s="164"/>
      <c r="AG237" s="164"/>
      <c r="AH237" s="164"/>
      <c r="AI237" s="164"/>
      <c r="AJ237" s="164"/>
      <c r="AK237" s="164"/>
      <c r="AL237" s="164"/>
      <c r="AM237" s="164"/>
      <c r="AN237" s="164"/>
      <c r="AO237" s="164"/>
      <c r="AP237" s="164"/>
      <c r="AQ237" s="164"/>
      <c r="AR237" s="164"/>
      <c r="AS237" s="164"/>
      <c r="AT237" s="164"/>
      <c r="AU237" s="164"/>
      <c r="AV237" s="164"/>
      <c r="AW237" s="164"/>
      <c r="AX237" s="164"/>
      <c r="AY237" s="164"/>
      <c r="AZ237" s="164"/>
      <c r="BA237" s="164"/>
      <c r="BB237" s="164"/>
      <c r="BC237" s="164"/>
      <c r="BD237" s="164"/>
      <c r="BE237" s="164"/>
      <c r="BF237" s="164"/>
      <c r="BG237" s="164"/>
      <c r="BH237" s="164"/>
      <c r="BI237" s="164"/>
    </row>
    <row r="238" ht="15.75" customHeight="1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  <c r="AD238" s="164"/>
      <c r="AE238" s="164"/>
      <c r="AF238" s="164"/>
      <c r="AG238" s="164"/>
      <c r="AH238" s="164"/>
      <c r="AI238" s="164"/>
      <c r="AJ238" s="164"/>
      <c r="AK238" s="164"/>
      <c r="AL238" s="164"/>
      <c r="AM238" s="164"/>
      <c r="AN238" s="164"/>
      <c r="AO238" s="164"/>
      <c r="AP238" s="164"/>
      <c r="AQ238" s="164"/>
      <c r="AR238" s="164"/>
      <c r="AS238" s="164"/>
      <c r="AT238" s="164"/>
      <c r="AU238" s="164"/>
      <c r="AV238" s="164"/>
      <c r="AW238" s="164"/>
      <c r="AX238" s="164"/>
      <c r="AY238" s="164"/>
      <c r="AZ238" s="164"/>
      <c r="BA238" s="164"/>
      <c r="BB238" s="164"/>
      <c r="BC238" s="164"/>
      <c r="BD238" s="164"/>
      <c r="BE238" s="164"/>
      <c r="BF238" s="164"/>
      <c r="BG238" s="164"/>
      <c r="BH238" s="164"/>
      <c r="BI238" s="164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E2:H2"/>
    <mergeCell ref="I2:K2"/>
    <mergeCell ref="L2:M2"/>
    <mergeCell ref="N2:Q2"/>
    <mergeCell ref="C1:G1"/>
    <mergeCell ref="H1:K1"/>
    <mergeCell ref="L1:M1"/>
    <mergeCell ref="Z1:AC2"/>
    <mergeCell ref="AX1:BA2"/>
    <mergeCell ref="C2:D2"/>
    <mergeCell ref="R2:S2"/>
    <mergeCell ref="N1:S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2.63"/>
    <col customWidth="1" min="2" max="2" width="17.75"/>
    <col customWidth="1" min="3" max="16" width="8.13"/>
    <col customWidth="1" min="17" max="18" width="8.75"/>
    <col customWidth="1" min="19" max="19" width="8.13"/>
    <col customWidth="1" min="20" max="26" width="8.88"/>
    <col customWidth="1" min="27" max="27" width="9.75"/>
    <col customWidth="1" min="28" max="28" width="10.75"/>
    <col customWidth="1" min="29" max="29" width="9.75"/>
    <col customWidth="1" min="30" max="32" width="8.13"/>
    <col customWidth="1" min="33" max="33" width="14.63"/>
    <col customWidth="1" hidden="1" min="34" max="49" width="8.13"/>
    <col customWidth="1" min="50" max="61" width="8.13"/>
  </cols>
  <sheetData>
    <row r="1" ht="29.25" customHeight="1">
      <c r="A1" s="51" t="s">
        <v>125</v>
      </c>
      <c r="B1" s="52"/>
      <c r="C1" s="53" t="s">
        <v>126</v>
      </c>
      <c r="D1" s="54"/>
      <c r="E1" s="54"/>
      <c r="F1" s="54"/>
      <c r="G1" s="55"/>
      <c r="H1" s="53" t="s">
        <v>127</v>
      </c>
      <c r="I1" s="54"/>
      <c r="J1" s="54"/>
      <c r="K1" s="55"/>
      <c r="L1" s="53" t="s">
        <v>128</v>
      </c>
      <c r="M1" s="55"/>
      <c r="N1" s="53" t="s">
        <v>129</v>
      </c>
      <c r="O1" s="54"/>
      <c r="P1" s="54"/>
      <c r="Q1" s="54"/>
      <c r="R1" s="54"/>
      <c r="S1" s="55"/>
      <c r="T1" s="56"/>
      <c r="U1" s="56"/>
      <c r="V1" s="56"/>
      <c r="W1" s="56"/>
      <c r="X1" s="56"/>
      <c r="Y1" s="56"/>
      <c r="Z1" s="57" t="s">
        <v>130</v>
      </c>
      <c r="AA1" s="58"/>
      <c r="AB1" s="58"/>
      <c r="AC1" s="59"/>
      <c r="AD1" s="60"/>
      <c r="AE1" s="60"/>
      <c r="AF1" s="61" t="s">
        <v>125</v>
      </c>
      <c r="AG1" s="62"/>
      <c r="AH1" s="63" t="s">
        <v>126</v>
      </c>
      <c r="AI1" s="63"/>
      <c r="AJ1" s="63"/>
      <c r="AK1" s="63"/>
      <c r="AL1" s="64"/>
      <c r="AM1" s="63" t="s">
        <v>127</v>
      </c>
      <c r="AN1" s="64"/>
      <c r="AO1" s="63" t="s">
        <v>128</v>
      </c>
      <c r="AP1" s="64"/>
      <c r="AQ1" s="63" t="s">
        <v>129</v>
      </c>
      <c r="AR1" s="63"/>
      <c r="AS1" s="63"/>
      <c r="AT1" s="63"/>
      <c r="AU1" s="63"/>
      <c r="AV1" s="63"/>
      <c r="AW1" s="63"/>
      <c r="AX1" s="65" t="s">
        <v>130</v>
      </c>
      <c r="AY1" s="58"/>
      <c r="AZ1" s="58"/>
      <c r="BA1" s="59"/>
      <c r="BB1" s="60"/>
      <c r="BC1" s="60"/>
      <c r="BD1" s="60"/>
      <c r="BE1" s="60"/>
      <c r="BF1" s="60"/>
      <c r="BG1" s="60"/>
      <c r="BH1" s="60"/>
      <c r="BI1" s="60"/>
    </row>
    <row r="2" ht="60.0" customHeight="1">
      <c r="A2" s="66"/>
      <c r="B2" s="52"/>
      <c r="C2" s="67" t="s">
        <v>131</v>
      </c>
      <c r="D2" s="55"/>
      <c r="E2" s="67" t="s">
        <v>132</v>
      </c>
      <c r="F2" s="54"/>
      <c r="G2" s="54"/>
      <c r="H2" s="55"/>
      <c r="I2" s="67" t="s">
        <v>133</v>
      </c>
      <c r="J2" s="54"/>
      <c r="K2" s="55"/>
      <c r="L2" s="67" t="s">
        <v>134</v>
      </c>
      <c r="M2" s="55"/>
      <c r="N2" s="67" t="s">
        <v>131</v>
      </c>
      <c r="O2" s="54"/>
      <c r="P2" s="54"/>
      <c r="Q2" s="55"/>
      <c r="R2" s="67" t="s">
        <v>132</v>
      </c>
      <c r="S2" s="55"/>
      <c r="T2" s="56"/>
      <c r="U2" s="56"/>
      <c r="V2" s="56"/>
      <c r="W2" s="56"/>
      <c r="X2" s="56"/>
      <c r="Y2" s="56"/>
      <c r="Z2" s="68"/>
      <c r="AA2" s="69"/>
      <c r="AB2" s="69"/>
      <c r="AC2" s="70"/>
      <c r="AD2" s="60"/>
      <c r="AE2" s="60"/>
      <c r="AF2" s="71"/>
      <c r="AG2" s="62"/>
      <c r="AH2" s="72" t="s">
        <v>135</v>
      </c>
      <c r="AI2" s="72"/>
      <c r="AJ2" s="73"/>
      <c r="AK2" s="72" t="s">
        <v>136</v>
      </c>
      <c r="AL2" s="73"/>
      <c r="AM2" s="72" t="s">
        <v>136</v>
      </c>
      <c r="AN2" s="73"/>
      <c r="AO2" s="72" t="s">
        <v>135</v>
      </c>
      <c r="AP2" s="73"/>
      <c r="AQ2" s="72" t="s">
        <v>135</v>
      </c>
      <c r="AR2" s="72"/>
      <c r="AS2" s="73"/>
      <c r="AT2" s="74"/>
      <c r="AU2" s="75" t="s">
        <v>136</v>
      </c>
      <c r="AV2" s="75"/>
      <c r="AW2" s="76"/>
      <c r="AX2" s="68"/>
      <c r="AY2" s="69"/>
      <c r="AZ2" s="69"/>
      <c r="BA2" s="70"/>
      <c r="BB2" s="60"/>
      <c r="BC2" s="60"/>
      <c r="BD2" s="60"/>
      <c r="BE2" s="60"/>
      <c r="BF2" s="60"/>
      <c r="BG2" s="60"/>
      <c r="BH2" s="60"/>
      <c r="BI2" s="60"/>
    </row>
    <row r="3" ht="180.0" customHeight="1">
      <c r="A3" s="66"/>
      <c r="B3" s="167" t="s">
        <v>35</v>
      </c>
      <c r="C3" s="78" t="s">
        <v>137</v>
      </c>
      <c r="D3" s="78" t="s">
        <v>138</v>
      </c>
      <c r="E3" s="78" t="s">
        <v>137</v>
      </c>
      <c r="F3" s="78" t="s">
        <v>139</v>
      </c>
      <c r="G3" s="79" t="s">
        <v>140</v>
      </c>
      <c r="H3" s="79" t="s">
        <v>141</v>
      </c>
      <c r="I3" s="79" t="s">
        <v>142</v>
      </c>
      <c r="J3" s="79" t="s">
        <v>143</v>
      </c>
      <c r="K3" s="79" t="s">
        <v>144</v>
      </c>
      <c r="L3" s="80" t="s">
        <v>145</v>
      </c>
      <c r="M3" s="81" t="s">
        <v>282</v>
      </c>
      <c r="N3" s="80" t="s">
        <v>147</v>
      </c>
      <c r="O3" s="80" t="s">
        <v>148</v>
      </c>
      <c r="P3" s="80" t="s">
        <v>149</v>
      </c>
      <c r="Q3" s="80" t="s">
        <v>150</v>
      </c>
      <c r="R3" s="80" t="s">
        <v>148</v>
      </c>
      <c r="S3" s="80" t="s">
        <v>150</v>
      </c>
      <c r="T3" s="82" t="s">
        <v>151</v>
      </c>
      <c r="U3" s="82" t="s">
        <v>152</v>
      </c>
      <c r="V3" s="82" t="s">
        <v>153</v>
      </c>
      <c r="W3" s="82" t="s">
        <v>154</v>
      </c>
      <c r="X3" s="83" t="s">
        <v>155</v>
      </c>
      <c r="Y3" s="83" t="s">
        <v>156</v>
      </c>
      <c r="Z3" s="84" t="s">
        <v>157</v>
      </c>
      <c r="AA3" s="84" t="s">
        <v>158</v>
      </c>
      <c r="AB3" s="84" t="s">
        <v>159</v>
      </c>
      <c r="AC3" s="84" t="s">
        <v>160</v>
      </c>
      <c r="AD3" s="85"/>
      <c r="AE3" s="85"/>
      <c r="AF3" s="71"/>
      <c r="AG3" s="86" t="s">
        <v>35</v>
      </c>
      <c r="AH3" s="87" t="s">
        <v>161</v>
      </c>
      <c r="AI3" s="87" t="s">
        <v>162</v>
      </c>
      <c r="AJ3" s="88" t="s">
        <v>163</v>
      </c>
      <c r="AK3" s="89" t="s">
        <v>164</v>
      </c>
      <c r="AL3" s="90" t="s">
        <v>165</v>
      </c>
      <c r="AM3" s="90" t="s">
        <v>141</v>
      </c>
      <c r="AN3" s="90" t="s">
        <v>166</v>
      </c>
      <c r="AO3" s="91" t="s">
        <v>145</v>
      </c>
      <c r="AP3" s="91" t="s">
        <v>167</v>
      </c>
      <c r="AQ3" s="90" t="s">
        <v>168</v>
      </c>
      <c r="AR3" s="90" t="s">
        <v>148</v>
      </c>
      <c r="AS3" s="90" t="s">
        <v>169</v>
      </c>
      <c r="AT3" s="90" t="s">
        <v>150</v>
      </c>
      <c r="AU3" s="90" t="s">
        <v>170</v>
      </c>
      <c r="AV3" s="90" t="s">
        <v>171</v>
      </c>
      <c r="AW3" s="92" t="s">
        <v>172</v>
      </c>
      <c r="AX3" s="93" t="s">
        <v>157</v>
      </c>
      <c r="AY3" s="93" t="s">
        <v>158</v>
      </c>
      <c r="AZ3" s="93" t="s">
        <v>159</v>
      </c>
      <c r="BA3" s="93" t="s">
        <v>160</v>
      </c>
      <c r="BB3" s="85"/>
      <c r="BC3" s="85"/>
      <c r="BD3" s="85"/>
      <c r="BE3" s="85"/>
      <c r="BF3" s="85"/>
      <c r="BG3" s="85"/>
      <c r="BH3" s="85"/>
      <c r="BI3" s="85"/>
    </row>
    <row r="4" ht="160.5" customHeight="1">
      <c r="A4" s="94"/>
      <c r="B4" s="170" t="s">
        <v>1</v>
      </c>
      <c r="C4" s="96" t="s">
        <v>283</v>
      </c>
      <c r="D4" s="96" t="s">
        <v>284</v>
      </c>
      <c r="E4" s="96" t="s">
        <v>285</v>
      </c>
      <c r="F4" s="213" t="s">
        <v>286</v>
      </c>
      <c r="G4" s="97" t="s">
        <v>286</v>
      </c>
      <c r="H4" s="97" t="s">
        <v>287</v>
      </c>
      <c r="I4" s="97" t="s">
        <v>286</v>
      </c>
      <c r="J4" s="97" t="s">
        <v>288</v>
      </c>
      <c r="K4" s="97" t="s">
        <v>289</v>
      </c>
      <c r="L4" s="98" t="s">
        <v>290</v>
      </c>
      <c r="M4" s="172" t="s">
        <v>291</v>
      </c>
      <c r="N4" s="96" t="s">
        <v>292</v>
      </c>
      <c r="O4" s="96" t="s">
        <v>284</v>
      </c>
      <c r="P4" s="96" t="s">
        <v>293</v>
      </c>
      <c r="Q4" s="268" t="s">
        <v>280</v>
      </c>
      <c r="R4" s="96" t="s">
        <v>294</v>
      </c>
      <c r="S4" s="268" t="s">
        <v>280</v>
      </c>
      <c r="T4" s="100"/>
      <c r="U4" s="100"/>
      <c r="V4" s="100"/>
      <c r="W4" s="100"/>
      <c r="X4" s="100"/>
      <c r="Y4" s="100"/>
      <c r="Z4" s="173"/>
      <c r="AA4" s="173"/>
      <c r="AB4" s="173"/>
      <c r="AC4" s="173"/>
      <c r="AD4" s="103"/>
      <c r="AE4" s="103"/>
      <c r="AF4" s="104"/>
      <c r="AG4" s="105" t="s">
        <v>1</v>
      </c>
      <c r="AH4" s="106" t="s">
        <v>189</v>
      </c>
      <c r="AI4" s="106" t="s">
        <v>189</v>
      </c>
      <c r="AJ4" s="107" t="s">
        <v>190</v>
      </c>
      <c r="AK4" s="107" t="s">
        <v>191</v>
      </c>
      <c r="AL4" s="107" t="s">
        <v>192</v>
      </c>
      <c r="AM4" s="107" t="s">
        <v>193</v>
      </c>
      <c r="AN4" s="107" t="s">
        <v>194</v>
      </c>
      <c r="AO4" s="108" t="s">
        <v>195</v>
      </c>
      <c r="AP4" s="109" t="s">
        <v>196</v>
      </c>
      <c r="AQ4" s="107" t="s">
        <v>197</v>
      </c>
      <c r="AR4" s="107" t="s">
        <v>198</v>
      </c>
      <c r="AS4" s="107" t="s">
        <v>199</v>
      </c>
      <c r="AT4" s="107" t="s">
        <v>189</v>
      </c>
      <c r="AU4" s="107" t="s">
        <v>200</v>
      </c>
      <c r="AV4" s="107" t="s">
        <v>201</v>
      </c>
      <c r="AW4" s="110" t="s">
        <v>202</v>
      </c>
      <c r="AX4" s="111"/>
      <c r="AY4" s="111"/>
      <c r="AZ4" s="111"/>
      <c r="BA4" s="111"/>
      <c r="BB4" s="103"/>
      <c r="BC4" s="103"/>
      <c r="BD4" s="103"/>
      <c r="BE4" s="103"/>
      <c r="BF4" s="103"/>
      <c r="BG4" s="103"/>
      <c r="BH4" s="103"/>
      <c r="BI4" s="103"/>
    </row>
    <row r="5" ht="15.75" customHeight="1">
      <c r="A5" s="112"/>
      <c r="B5" s="42" t="s">
        <v>41</v>
      </c>
      <c r="C5" s="269">
        <v>530.0</v>
      </c>
      <c r="D5" s="269"/>
      <c r="E5" s="269" t="s">
        <v>229</v>
      </c>
      <c r="F5" s="269" t="s">
        <v>229</v>
      </c>
      <c r="G5" s="269"/>
      <c r="I5" s="269">
        <v>333.0</v>
      </c>
      <c r="J5" s="269">
        <v>177.0</v>
      </c>
      <c r="K5" s="269">
        <v>0.0</v>
      </c>
      <c r="L5" s="269">
        <v>98285.0</v>
      </c>
      <c r="M5" s="270">
        <v>39284.0</v>
      </c>
      <c r="N5" s="269">
        <v>4326.0</v>
      </c>
      <c r="O5" s="269">
        <v>9987.0</v>
      </c>
      <c r="P5" s="269">
        <v>51223.0</v>
      </c>
      <c r="Q5" s="270" t="s">
        <v>295</v>
      </c>
      <c r="R5" s="269" t="s">
        <v>229</v>
      </c>
      <c r="S5" s="270" t="s">
        <v>229</v>
      </c>
      <c r="T5" s="114"/>
      <c r="U5" s="114"/>
      <c r="V5" s="114"/>
      <c r="W5" s="114"/>
      <c r="X5" s="114"/>
      <c r="Y5" s="114"/>
      <c r="Z5" s="114">
        <f t="shared" ref="Z5:Z6" si="1">SUM(C5:K5)</f>
        <v>1040</v>
      </c>
      <c r="AA5" s="114">
        <f t="shared" ref="AA5:AA6" si="2">((L5+M5)-(SUM(N5:S5)))</f>
        <v>72033</v>
      </c>
      <c r="AB5" s="115">
        <f t="shared" ref="AB5:AB6" si="3">Z5/AA5</f>
        <v>0.01443782711</v>
      </c>
      <c r="AC5" s="115">
        <f t="shared" ref="AC5:AC6" si="4">100%-AB5</f>
        <v>0.9855621729</v>
      </c>
      <c r="AD5" s="116"/>
      <c r="AE5" s="116"/>
      <c r="AF5" s="117"/>
      <c r="AG5" s="118"/>
      <c r="AH5" s="119"/>
      <c r="AI5" s="119"/>
      <c r="AJ5" s="119"/>
      <c r="AK5" s="120"/>
      <c r="AL5" s="119"/>
      <c r="AM5" s="119"/>
      <c r="AN5" s="119"/>
      <c r="AO5" s="121"/>
      <c r="AP5" s="122"/>
      <c r="AQ5" s="119"/>
      <c r="AR5" s="119"/>
      <c r="AS5" s="119"/>
      <c r="AT5" s="119"/>
      <c r="AU5" s="119"/>
      <c r="AV5" s="119"/>
      <c r="AW5" s="120"/>
      <c r="AX5" s="120"/>
      <c r="AY5" s="120"/>
      <c r="AZ5" s="123"/>
      <c r="BA5" s="123"/>
      <c r="BB5" s="116"/>
      <c r="BC5" s="116"/>
      <c r="BD5" s="116"/>
      <c r="BE5" s="116"/>
      <c r="BF5" s="116"/>
      <c r="BG5" s="116"/>
      <c r="BH5" s="116"/>
      <c r="BI5" s="116"/>
    </row>
    <row r="6" ht="15.75" customHeight="1">
      <c r="A6" s="112"/>
      <c r="B6" s="38" t="s">
        <v>43</v>
      </c>
      <c r="C6" s="269">
        <v>226.0</v>
      </c>
      <c r="D6" s="269">
        <v>1336.0</v>
      </c>
      <c r="E6" s="269"/>
      <c r="F6" s="269">
        <v>233.0</v>
      </c>
      <c r="G6" s="269">
        <v>356.0</v>
      </c>
      <c r="H6" s="269">
        <v>871.0</v>
      </c>
      <c r="I6" s="269">
        <v>93.0</v>
      </c>
      <c r="J6" s="269">
        <v>26.0</v>
      </c>
      <c r="K6" s="269">
        <v>9.0</v>
      </c>
      <c r="L6" s="269">
        <v>36205.0</v>
      </c>
      <c r="M6" s="270">
        <v>32604.0</v>
      </c>
      <c r="N6" s="269">
        <v>189.0</v>
      </c>
      <c r="O6" s="269">
        <v>1919.0</v>
      </c>
      <c r="P6" s="269">
        <v>4088.0</v>
      </c>
      <c r="Q6" s="270"/>
      <c r="R6" s="269">
        <v>1.0</v>
      </c>
      <c r="S6" s="270"/>
      <c r="T6" s="130">
        <f t="shared" ref="T6:T37" si="5">C6+D6+E6+F6+G6</f>
        <v>2151</v>
      </c>
      <c r="U6" s="130">
        <f t="shared" ref="U6:U37" si="6">H6+I6+J6+K6</f>
        <v>999</v>
      </c>
      <c r="V6" s="130">
        <f t="shared" ref="V6:V37" si="7">L6+M6</f>
        <v>68809</v>
      </c>
      <c r="W6" s="130">
        <f t="shared" ref="W6:W37" si="8">N6+O6+P6+Q6+R6+S6</f>
        <v>6197</v>
      </c>
      <c r="X6" s="116">
        <f t="shared" ref="X6:X38" si="9">(T6+U6)/(V6-W6)</f>
        <v>0.05030984476</v>
      </c>
      <c r="Y6" s="116">
        <f t="shared" ref="Y6:Y38" si="10">1-X6</f>
        <v>0.9496901552</v>
      </c>
      <c r="Z6" s="114">
        <f t="shared" si="1"/>
        <v>3150</v>
      </c>
      <c r="AA6" s="114">
        <f t="shared" si="2"/>
        <v>62612</v>
      </c>
      <c r="AB6" s="115">
        <f t="shared" si="3"/>
        <v>0.05030984476</v>
      </c>
      <c r="AC6" s="115">
        <f t="shared" si="4"/>
        <v>0.9496901552</v>
      </c>
      <c r="AD6" s="116"/>
      <c r="AE6" s="116"/>
      <c r="AF6" s="117"/>
      <c r="AG6" s="118" t="s">
        <v>43</v>
      </c>
      <c r="AH6" s="119">
        <v>6.0</v>
      </c>
      <c r="AI6" s="119">
        <v>11.0</v>
      </c>
      <c r="AJ6" s="119">
        <v>469.0</v>
      </c>
      <c r="AK6" s="120">
        <v>0.0</v>
      </c>
      <c r="AL6" s="119">
        <v>70.0</v>
      </c>
      <c r="AM6" s="119">
        <v>262.0</v>
      </c>
      <c r="AN6" s="119">
        <v>4.0</v>
      </c>
      <c r="AO6" s="121">
        <v>40597.0</v>
      </c>
      <c r="AP6" s="131">
        <v>23591.0</v>
      </c>
      <c r="AQ6" s="119">
        <v>28.0</v>
      </c>
      <c r="AR6" s="119">
        <v>880.0</v>
      </c>
      <c r="AS6" s="119">
        <v>903.0</v>
      </c>
      <c r="AT6" s="119">
        <v>55.0</v>
      </c>
      <c r="AU6" s="119">
        <v>18.0</v>
      </c>
      <c r="AV6" s="119">
        <v>55.0</v>
      </c>
      <c r="AW6" s="120">
        <v>11.0</v>
      </c>
      <c r="AX6" s="120">
        <v>3819.0</v>
      </c>
      <c r="AY6" s="120">
        <v>77352.0</v>
      </c>
      <c r="AZ6" s="123">
        <v>0.04937170338194229</v>
      </c>
      <c r="BA6" s="123">
        <v>0.9506282966180577</v>
      </c>
      <c r="BB6" s="116"/>
      <c r="BC6" s="116"/>
      <c r="BD6" s="116"/>
      <c r="BE6" s="116"/>
      <c r="BF6" s="116"/>
      <c r="BG6" s="116"/>
      <c r="BH6" s="116"/>
      <c r="BI6" s="116"/>
    </row>
    <row r="7" ht="15.75" customHeight="1">
      <c r="A7" s="179"/>
      <c r="B7" s="38" t="s">
        <v>45</v>
      </c>
      <c r="C7" s="269">
        <v>35621.0</v>
      </c>
      <c r="D7" s="269">
        <v>13771.0</v>
      </c>
      <c r="E7" s="269">
        <v>2.0</v>
      </c>
      <c r="F7" s="269">
        <v>155.0</v>
      </c>
      <c r="G7" s="269">
        <v>43.0</v>
      </c>
      <c r="H7" s="269">
        <v>389.0</v>
      </c>
      <c r="I7" s="269">
        <v>55.0</v>
      </c>
      <c r="J7" s="269">
        <v>4.0</v>
      </c>
      <c r="K7" s="269">
        <v>0.0</v>
      </c>
      <c r="L7" s="269">
        <v>96646.0</v>
      </c>
      <c r="M7" s="270">
        <v>72823.0</v>
      </c>
      <c r="N7" s="269">
        <v>8804.0</v>
      </c>
      <c r="O7" s="269">
        <v>1087.0</v>
      </c>
      <c r="P7" s="269">
        <v>60821.0</v>
      </c>
      <c r="Q7" s="270"/>
      <c r="R7" s="269">
        <v>2.0</v>
      </c>
      <c r="S7" s="270"/>
      <c r="T7" s="130">
        <f t="shared" si="5"/>
        <v>49592</v>
      </c>
      <c r="U7" s="130">
        <f t="shared" si="6"/>
        <v>448</v>
      </c>
      <c r="V7" s="130">
        <f t="shared" si="7"/>
        <v>169469</v>
      </c>
      <c r="W7" s="130">
        <f t="shared" si="8"/>
        <v>70714</v>
      </c>
      <c r="X7" s="116">
        <f t="shared" si="9"/>
        <v>0.5067085211</v>
      </c>
      <c r="Y7" s="116">
        <f t="shared" si="10"/>
        <v>0.4932914789</v>
      </c>
      <c r="Z7" s="279"/>
      <c r="AA7" s="279"/>
      <c r="AB7" s="280"/>
      <c r="AC7" s="280"/>
      <c r="AD7" s="116"/>
      <c r="AE7" s="116"/>
      <c r="AF7" s="117"/>
      <c r="AG7" s="118" t="s">
        <v>45</v>
      </c>
      <c r="AH7" s="119">
        <v>13752.0</v>
      </c>
      <c r="AI7" s="119">
        <v>357.0</v>
      </c>
      <c r="AJ7" s="119">
        <v>3541.0</v>
      </c>
      <c r="AK7" s="120">
        <v>604.0</v>
      </c>
      <c r="AL7" s="119">
        <v>60.0</v>
      </c>
      <c r="AM7" s="119">
        <v>197.0</v>
      </c>
      <c r="AN7" s="119">
        <v>0.0</v>
      </c>
      <c r="AO7" s="121">
        <v>147385.0</v>
      </c>
      <c r="AP7" s="131">
        <v>81827.0</v>
      </c>
      <c r="AQ7" s="119">
        <v>1426.0</v>
      </c>
      <c r="AR7" s="119">
        <v>1057.0</v>
      </c>
      <c r="AS7" s="119">
        <v>20490.0</v>
      </c>
      <c r="AT7" s="119">
        <v>150.0</v>
      </c>
      <c r="AU7" s="119">
        <v>40.0</v>
      </c>
      <c r="AV7" s="119">
        <v>150.0</v>
      </c>
      <c r="AW7" s="120">
        <v>357.0</v>
      </c>
      <c r="AX7" s="120">
        <v>25481.0</v>
      </c>
      <c r="AY7" s="120">
        <v>421823.0</v>
      </c>
      <c r="AZ7" s="123">
        <v>0.0604068531113761</v>
      </c>
      <c r="BA7" s="123">
        <v>0.9395931468886239</v>
      </c>
      <c r="BB7" s="116"/>
      <c r="BC7" s="116"/>
      <c r="BD7" s="116"/>
      <c r="BE7" s="116"/>
      <c r="BF7" s="116"/>
      <c r="BG7" s="116"/>
      <c r="BH7" s="116"/>
      <c r="BI7" s="116"/>
    </row>
    <row r="8" ht="15.75" customHeight="1">
      <c r="A8" s="112"/>
      <c r="B8" s="38" t="s">
        <v>46</v>
      </c>
      <c r="C8" s="269">
        <v>1080.0</v>
      </c>
      <c r="D8" s="269">
        <v>877.0</v>
      </c>
      <c r="E8" s="269">
        <v>2.0</v>
      </c>
      <c r="F8" s="269">
        <v>18.0</v>
      </c>
      <c r="G8" s="269">
        <v>33.0</v>
      </c>
      <c r="H8" s="269">
        <v>33.0</v>
      </c>
      <c r="I8" s="269">
        <v>34.0</v>
      </c>
      <c r="J8" s="269">
        <v>14.0</v>
      </c>
      <c r="K8" s="269">
        <v>0.0</v>
      </c>
      <c r="L8" s="269">
        <v>23044.0</v>
      </c>
      <c r="M8" s="270">
        <v>30968.0</v>
      </c>
      <c r="N8" s="269">
        <v>376.0</v>
      </c>
      <c r="O8" s="269">
        <v>32.0</v>
      </c>
      <c r="P8" s="269">
        <v>1533.0</v>
      </c>
      <c r="Q8" s="270"/>
      <c r="R8" s="269">
        <v>0.0</v>
      </c>
      <c r="S8" s="270"/>
      <c r="T8" s="130">
        <f t="shared" si="5"/>
        <v>2010</v>
      </c>
      <c r="U8" s="130">
        <f t="shared" si="6"/>
        <v>81</v>
      </c>
      <c r="V8" s="130">
        <f t="shared" si="7"/>
        <v>54012</v>
      </c>
      <c r="W8" s="130">
        <f t="shared" si="8"/>
        <v>1941</v>
      </c>
      <c r="X8" s="116">
        <f t="shared" si="9"/>
        <v>0.04015670911</v>
      </c>
      <c r="Y8" s="116">
        <f t="shared" si="10"/>
        <v>0.9598432909</v>
      </c>
      <c r="Z8" s="114">
        <f t="shared" ref="Z8:Z22" si="11">SUM(C8:K8)</f>
        <v>2091</v>
      </c>
      <c r="AA8" s="114">
        <f t="shared" ref="AA8:AA22" si="12">((L8+M8)-(SUM(N8:S8)))</f>
        <v>52071</v>
      </c>
      <c r="AB8" s="115">
        <f t="shared" ref="AB8:AB22" si="13">Z8/AA8</f>
        <v>0.04015670911</v>
      </c>
      <c r="AC8" s="115">
        <f t="shared" ref="AC8:AC22" si="14">100%-AB8</f>
        <v>0.9598432909</v>
      </c>
      <c r="AD8" s="116"/>
      <c r="AE8" s="116"/>
      <c r="AF8" s="117"/>
      <c r="AG8" s="118" t="s">
        <v>46</v>
      </c>
      <c r="AH8" s="119">
        <v>973.0</v>
      </c>
      <c r="AI8" s="119">
        <v>0.0</v>
      </c>
      <c r="AJ8" s="119">
        <v>713.0</v>
      </c>
      <c r="AK8" s="120">
        <v>0.0</v>
      </c>
      <c r="AL8" s="119">
        <v>5.0</v>
      </c>
      <c r="AM8" s="119">
        <v>19.0</v>
      </c>
      <c r="AN8" s="119">
        <v>3.0</v>
      </c>
      <c r="AO8" s="121">
        <v>22890.0</v>
      </c>
      <c r="AP8" s="131">
        <v>13043.0</v>
      </c>
      <c r="AQ8" s="119">
        <v>328.0</v>
      </c>
      <c r="AR8" s="119">
        <v>38.0</v>
      </c>
      <c r="AS8" s="119">
        <v>781.0</v>
      </c>
      <c r="AT8" s="119">
        <v>20.0</v>
      </c>
      <c r="AU8" s="119">
        <v>14.0</v>
      </c>
      <c r="AV8" s="119">
        <v>20.0</v>
      </c>
      <c r="AW8" s="120">
        <v>0.0</v>
      </c>
      <c r="AX8" s="120">
        <v>1599.0</v>
      </c>
      <c r="AY8" s="120">
        <v>98309.0</v>
      </c>
      <c r="AZ8" s="123">
        <v>0.016265041857815663</v>
      </c>
      <c r="BA8" s="123">
        <v>0.9837349581421844</v>
      </c>
      <c r="BB8" s="116"/>
      <c r="BC8" s="116"/>
      <c r="BD8" s="116"/>
      <c r="BE8" s="116"/>
      <c r="BF8" s="116"/>
      <c r="BG8" s="116"/>
      <c r="BH8" s="116"/>
      <c r="BI8" s="116"/>
    </row>
    <row r="9" ht="15.75" customHeight="1">
      <c r="A9" s="112"/>
      <c r="B9" s="38" t="s">
        <v>47</v>
      </c>
      <c r="C9" s="269">
        <v>5.0</v>
      </c>
      <c r="D9" s="269">
        <v>950.0</v>
      </c>
      <c r="E9" s="269">
        <v>0.0</v>
      </c>
      <c r="F9" s="269">
        <v>21.0</v>
      </c>
      <c r="G9" s="269">
        <v>110.0</v>
      </c>
      <c r="H9" s="269">
        <v>30.0</v>
      </c>
      <c r="I9" s="269">
        <v>5.0</v>
      </c>
      <c r="J9" s="269">
        <v>4.0</v>
      </c>
      <c r="K9" s="269">
        <v>0.0</v>
      </c>
      <c r="L9" s="269">
        <v>2076.0</v>
      </c>
      <c r="M9" s="270">
        <v>1086.0</v>
      </c>
      <c r="N9" s="269">
        <v>24.0</v>
      </c>
      <c r="O9" s="269">
        <v>97.0</v>
      </c>
      <c r="P9" s="269">
        <v>20.0</v>
      </c>
      <c r="Q9" s="270"/>
      <c r="R9" s="269">
        <v>0.0</v>
      </c>
      <c r="S9" s="270"/>
      <c r="T9" s="130">
        <f t="shared" si="5"/>
        <v>1086</v>
      </c>
      <c r="U9" s="130">
        <f t="shared" si="6"/>
        <v>39</v>
      </c>
      <c r="V9" s="130">
        <f t="shared" si="7"/>
        <v>3162</v>
      </c>
      <c r="W9" s="130">
        <f t="shared" si="8"/>
        <v>141</v>
      </c>
      <c r="X9" s="116">
        <f t="shared" si="9"/>
        <v>0.3723932473</v>
      </c>
      <c r="Y9" s="116">
        <f t="shared" si="10"/>
        <v>0.6276067527</v>
      </c>
      <c r="Z9" s="114">
        <f t="shared" si="11"/>
        <v>1125</v>
      </c>
      <c r="AA9" s="114">
        <f t="shared" si="12"/>
        <v>3021</v>
      </c>
      <c r="AB9" s="115">
        <f t="shared" si="13"/>
        <v>0.3723932473</v>
      </c>
      <c r="AC9" s="115">
        <f t="shared" si="14"/>
        <v>0.6276067527</v>
      </c>
      <c r="AD9" s="116"/>
      <c r="AE9" s="116"/>
      <c r="AF9" s="117"/>
      <c r="AG9" s="118" t="s">
        <v>47</v>
      </c>
      <c r="AH9" s="119">
        <v>17.0</v>
      </c>
      <c r="AI9" s="119">
        <v>2662.0</v>
      </c>
      <c r="AJ9" s="119">
        <v>915.0</v>
      </c>
      <c r="AK9" s="120">
        <v>6.0</v>
      </c>
      <c r="AL9" s="119">
        <v>29.0</v>
      </c>
      <c r="AM9" s="119">
        <v>66.0</v>
      </c>
      <c r="AN9" s="119">
        <v>4.0</v>
      </c>
      <c r="AO9" s="121">
        <v>21962.0</v>
      </c>
      <c r="AP9" s="131">
        <v>21937.0</v>
      </c>
      <c r="AQ9" s="119">
        <v>69.0</v>
      </c>
      <c r="AR9" s="119">
        <v>1064.0</v>
      </c>
      <c r="AS9" s="119">
        <v>33.0</v>
      </c>
      <c r="AT9" s="119">
        <v>44.0</v>
      </c>
      <c r="AU9" s="119">
        <v>0.0</v>
      </c>
      <c r="AV9" s="119">
        <v>44.0</v>
      </c>
      <c r="AW9" s="120">
        <v>2662.0</v>
      </c>
      <c r="AX9" s="120">
        <v>770.0</v>
      </c>
      <c r="AY9" s="120">
        <v>38579.0</v>
      </c>
      <c r="AZ9" s="123">
        <v>0.019959045076336866</v>
      </c>
      <c r="BA9" s="123">
        <v>0.9800409549236632</v>
      </c>
      <c r="BB9" s="116"/>
      <c r="BC9" s="116"/>
      <c r="BD9" s="116"/>
      <c r="BE9" s="116"/>
      <c r="BF9" s="116"/>
      <c r="BG9" s="116"/>
      <c r="BH9" s="116"/>
      <c r="BI9" s="116"/>
    </row>
    <row r="10" ht="15.75" customHeight="1">
      <c r="A10" s="112"/>
      <c r="B10" s="38" t="s">
        <v>48</v>
      </c>
      <c r="C10" s="269">
        <v>0.0</v>
      </c>
      <c r="D10" s="269">
        <v>3720.0</v>
      </c>
      <c r="E10" s="269">
        <v>0.0</v>
      </c>
      <c r="F10" s="269">
        <v>163.0</v>
      </c>
      <c r="G10" s="269">
        <v>694.0</v>
      </c>
      <c r="H10" s="269">
        <v>77.0</v>
      </c>
      <c r="I10" s="269">
        <v>12.0</v>
      </c>
      <c r="J10" s="269">
        <v>2.0</v>
      </c>
      <c r="K10" s="269">
        <v>0.0</v>
      </c>
      <c r="L10" s="269">
        <v>51706.0</v>
      </c>
      <c r="M10" s="270">
        <v>41126.0</v>
      </c>
      <c r="N10" s="269">
        <v>27.0</v>
      </c>
      <c r="O10" s="269">
        <v>20.0</v>
      </c>
      <c r="P10" s="269">
        <v>3793.0</v>
      </c>
      <c r="Q10" s="270"/>
      <c r="R10" s="269">
        <v>0.0</v>
      </c>
      <c r="S10" s="270"/>
      <c r="T10" s="130">
        <f t="shared" si="5"/>
        <v>4577</v>
      </c>
      <c r="U10" s="130">
        <f t="shared" si="6"/>
        <v>91</v>
      </c>
      <c r="V10" s="130">
        <f t="shared" si="7"/>
        <v>92832</v>
      </c>
      <c r="W10" s="130">
        <f t="shared" si="8"/>
        <v>3840</v>
      </c>
      <c r="X10" s="116">
        <f t="shared" si="9"/>
        <v>0.05245415318</v>
      </c>
      <c r="Y10" s="116">
        <f t="shared" si="10"/>
        <v>0.9475458468</v>
      </c>
      <c r="Z10" s="114">
        <f t="shared" si="11"/>
        <v>4668</v>
      </c>
      <c r="AA10" s="114">
        <f t="shared" si="12"/>
        <v>88992</v>
      </c>
      <c r="AB10" s="115">
        <f t="shared" si="13"/>
        <v>0.05245415318</v>
      </c>
      <c r="AC10" s="115">
        <f t="shared" si="14"/>
        <v>0.9475458468</v>
      </c>
      <c r="AD10" s="116"/>
      <c r="AE10" s="116"/>
      <c r="AF10" s="117"/>
      <c r="AG10" s="118" t="s">
        <v>48</v>
      </c>
      <c r="AH10" s="119">
        <v>407.0</v>
      </c>
      <c r="AI10" s="119">
        <v>0.0</v>
      </c>
      <c r="AJ10" s="119">
        <v>4849.0</v>
      </c>
      <c r="AK10" s="120">
        <v>11.0</v>
      </c>
      <c r="AL10" s="119">
        <v>4.0</v>
      </c>
      <c r="AM10" s="119">
        <v>396.0</v>
      </c>
      <c r="AN10" s="119">
        <v>41.0</v>
      </c>
      <c r="AO10" s="121">
        <v>13273.0</v>
      </c>
      <c r="AP10" s="131">
        <v>3013.0</v>
      </c>
      <c r="AQ10" s="119">
        <v>0.0</v>
      </c>
      <c r="AR10" s="119">
        <v>21.0</v>
      </c>
      <c r="AS10" s="119">
        <v>3707.0</v>
      </c>
      <c r="AT10" s="119">
        <v>28.0</v>
      </c>
      <c r="AU10" s="119">
        <v>0.0</v>
      </c>
      <c r="AV10" s="119">
        <v>28.0</v>
      </c>
      <c r="AW10" s="120">
        <v>0.0</v>
      </c>
      <c r="AX10" s="120">
        <v>5333.0</v>
      </c>
      <c r="AY10" s="120">
        <v>238678.0</v>
      </c>
      <c r="AZ10" s="123">
        <v>0.022343911043330344</v>
      </c>
      <c r="BA10" s="123">
        <v>0.9776560889566697</v>
      </c>
      <c r="BB10" s="116"/>
      <c r="BC10" s="116"/>
      <c r="BD10" s="116"/>
      <c r="BE10" s="116"/>
      <c r="BF10" s="116"/>
      <c r="BG10" s="116"/>
      <c r="BH10" s="116"/>
      <c r="BI10" s="116"/>
    </row>
    <row r="11" ht="15.75" customHeight="1">
      <c r="A11" s="179"/>
      <c r="B11" s="38" t="s">
        <v>49</v>
      </c>
      <c r="C11" s="269">
        <v>82.0</v>
      </c>
      <c r="D11" s="269">
        <v>1647.0</v>
      </c>
      <c r="E11" s="269">
        <v>49.0</v>
      </c>
      <c r="F11" s="269">
        <v>37.0</v>
      </c>
      <c r="G11" s="269">
        <v>37.0</v>
      </c>
      <c r="H11" s="269">
        <v>27.0</v>
      </c>
      <c r="I11" s="269">
        <v>0.0</v>
      </c>
      <c r="J11" s="269">
        <v>0.0</v>
      </c>
      <c r="K11" s="269">
        <v>0.0</v>
      </c>
      <c r="L11" s="269">
        <v>26883.0</v>
      </c>
      <c r="M11" s="270">
        <v>33374.0</v>
      </c>
      <c r="N11" s="269">
        <v>473.0</v>
      </c>
      <c r="O11" s="269">
        <v>835.0</v>
      </c>
      <c r="P11" s="269">
        <v>2591.0</v>
      </c>
      <c r="Q11" s="270"/>
      <c r="R11" s="269">
        <v>7.0</v>
      </c>
      <c r="S11" s="270"/>
      <c r="T11" s="130">
        <f t="shared" si="5"/>
        <v>1852</v>
      </c>
      <c r="U11" s="130">
        <f t="shared" si="6"/>
        <v>27</v>
      </c>
      <c r="V11" s="130">
        <f t="shared" si="7"/>
        <v>60257</v>
      </c>
      <c r="W11" s="130">
        <f t="shared" si="8"/>
        <v>3906</v>
      </c>
      <c r="X11" s="116">
        <f t="shared" si="9"/>
        <v>0.03334457241</v>
      </c>
      <c r="Y11" s="116">
        <f t="shared" si="10"/>
        <v>0.9666554276</v>
      </c>
      <c r="Z11" s="114">
        <f t="shared" si="11"/>
        <v>1879</v>
      </c>
      <c r="AA11" s="114">
        <f t="shared" si="12"/>
        <v>56351</v>
      </c>
      <c r="AB11" s="115">
        <f t="shared" si="13"/>
        <v>0.03334457241</v>
      </c>
      <c r="AC11" s="115">
        <f t="shared" si="14"/>
        <v>0.9666554276</v>
      </c>
      <c r="AD11" s="116"/>
      <c r="AE11" s="116"/>
      <c r="AF11" s="117"/>
      <c r="AG11" s="118" t="s">
        <v>49</v>
      </c>
      <c r="AH11" s="119">
        <v>169.0</v>
      </c>
      <c r="AI11" s="119">
        <v>0.0</v>
      </c>
      <c r="AJ11" s="119">
        <v>1147.0</v>
      </c>
      <c r="AK11" s="120">
        <v>134.0</v>
      </c>
      <c r="AL11" s="119">
        <v>135.0</v>
      </c>
      <c r="AM11" s="119">
        <v>302.0</v>
      </c>
      <c r="AN11" s="119">
        <v>8.0</v>
      </c>
      <c r="AO11" s="121">
        <v>73966.0</v>
      </c>
      <c r="AP11" s="131">
        <v>55569.0</v>
      </c>
      <c r="AQ11" s="119">
        <v>162.0</v>
      </c>
      <c r="AR11" s="119">
        <v>5002.0</v>
      </c>
      <c r="AS11" s="119">
        <v>3905.0</v>
      </c>
      <c r="AT11" s="119">
        <v>378.0</v>
      </c>
      <c r="AU11" s="119">
        <v>567.0</v>
      </c>
      <c r="AV11" s="119">
        <v>378.0</v>
      </c>
      <c r="AW11" s="120">
        <v>0.0</v>
      </c>
      <c r="AX11" s="120">
        <v>2057.0</v>
      </c>
      <c r="AY11" s="120">
        <v>48186.0</v>
      </c>
      <c r="AZ11" s="123">
        <v>0.04268874776906156</v>
      </c>
      <c r="BA11" s="123">
        <v>0.9573112522309385</v>
      </c>
      <c r="BB11" s="116"/>
      <c r="BC11" s="116"/>
      <c r="BD11" s="116"/>
      <c r="BE11" s="116"/>
      <c r="BF11" s="116"/>
      <c r="BG11" s="116"/>
      <c r="BH11" s="116"/>
      <c r="BI11" s="116"/>
    </row>
    <row r="12" ht="15.75" customHeight="1">
      <c r="A12" s="179"/>
      <c r="B12" s="38" t="s">
        <v>50</v>
      </c>
      <c r="C12" s="269">
        <v>724.0</v>
      </c>
      <c r="D12" s="269">
        <v>168.0</v>
      </c>
      <c r="E12" s="269">
        <v>1.0</v>
      </c>
      <c r="F12" s="269">
        <v>5.0</v>
      </c>
      <c r="G12" s="269">
        <v>7.0</v>
      </c>
      <c r="H12" s="269">
        <v>79.0</v>
      </c>
      <c r="I12" s="269">
        <v>9.0</v>
      </c>
      <c r="J12" s="269">
        <v>2.0</v>
      </c>
      <c r="K12" s="269">
        <v>0.0</v>
      </c>
      <c r="L12" s="269">
        <v>21500.0</v>
      </c>
      <c r="M12" s="270">
        <v>9655.0</v>
      </c>
      <c r="N12" s="269">
        <v>845.0</v>
      </c>
      <c r="O12" s="269">
        <v>59.0</v>
      </c>
      <c r="P12" s="269">
        <v>6588.0</v>
      </c>
      <c r="Q12" s="270"/>
      <c r="R12" s="269">
        <v>0.0</v>
      </c>
      <c r="S12" s="270"/>
      <c r="T12" s="130">
        <f t="shared" si="5"/>
        <v>905</v>
      </c>
      <c r="U12" s="130">
        <f t="shared" si="6"/>
        <v>90</v>
      </c>
      <c r="V12" s="130">
        <f t="shared" si="7"/>
        <v>31155</v>
      </c>
      <c r="W12" s="130">
        <f t="shared" si="8"/>
        <v>7492</v>
      </c>
      <c r="X12" s="116">
        <f t="shared" si="9"/>
        <v>0.04204876812</v>
      </c>
      <c r="Y12" s="116">
        <f t="shared" si="10"/>
        <v>0.9579512319</v>
      </c>
      <c r="Z12" s="114">
        <f t="shared" si="11"/>
        <v>995</v>
      </c>
      <c r="AA12" s="114">
        <f t="shared" si="12"/>
        <v>23663</v>
      </c>
      <c r="AB12" s="115">
        <f t="shared" si="13"/>
        <v>0.04204876812</v>
      </c>
      <c r="AC12" s="115">
        <f t="shared" si="14"/>
        <v>0.9579512319</v>
      </c>
      <c r="AD12" s="116"/>
      <c r="AE12" s="116"/>
      <c r="AF12" s="117"/>
      <c r="AG12" s="118" t="s">
        <v>50</v>
      </c>
      <c r="AH12" s="119">
        <v>226.0</v>
      </c>
      <c r="AI12" s="119">
        <v>860.0</v>
      </c>
      <c r="AJ12" s="119">
        <v>514.0</v>
      </c>
      <c r="AK12" s="120">
        <v>31.0</v>
      </c>
      <c r="AL12" s="119">
        <v>3001.0</v>
      </c>
      <c r="AM12" s="119">
        <v>1982.0</v>
      </c>
      <c r="AN12" s="119">
        <v>559.0</v>
      </c>
      <c r="AO12" s="121">
        <v>242392.0</v>
      </c>
      <c r="AP12" s="131">
        <v>220608.0</v>
      </c>
      <c r="AQ12" s="119">
        <v>490.0</v>
      </c>
      <c r="AR12" s="119">
        <v>45067.0</v>
      </c>
      <c r="AS12" s="119">
        <v>6616.0</v>
      </c>
      <c r="AT12" s="119">
        <v>609.0</v>
      </c>
      <c r="AU12" s="119">
        <v>242.0</v>
      </c>
      <c r="AV12" s="119">
        <v>609.0</v>
      </c>
      <c r="AW12" s="120">
        <v>860.0</v>
      </c>
      <c r="AX12" s="135"/>
      <c r="AY12" s="135"/>
      <c r="AZ12" s="136"/>
      <c r="BA12" s="136"/>
      <c r="BB12" s="116"/>
      <c r="BC12" s="116"/>
      <c r="BD12" s="116"/>
      <c r="BE12" s="116"/>
      <c r="BF12" s="116"/>
      <c r="BG12" s="116"/>
      <c r="BH12" s="116"/>
      <c r="BI12" s="116"/>
    </row>
    <row r="13" ht="15.75" customHeight="1">
      <c r="A13" s="112"/>
      <c r="B13" s="38" t="s">
        <v>51</v>
      </c>
      <c r="C13" s="269">
        <v>785.0</v>
      </c>
      <c r="D13" s="269">
        <v>5071.0</v>
      </c>
      <c r="E13" s="269">
        <v>785.0</v>
      </c>
      <c r="F13" s="269"/>
      <c r="G13" s="269"/>
      <c r="H13" s="269"/>
      <c r="I13" s="269"/>
      <c r="J13" s="269"/>
      <c r="K13" s="269"/>
      <c r="L13" s="269">
        <v>71836.0</v>
      </c>
      <c r="M13" s="270">
        <v>58697.0</v>
      </c>
      <c r="N13" s="269">
        <v>153.0</v>
      </c>
      <c r="O13" s="269">
        <v>79.0</v>
      </c>
      <c r="P13" s="269">
        <v>4738.0</v>
      </c>
      <c r="Q13" s="270"/>
      <c r="R13" s="269"/>
      <c r="S13" s="270"/>
      <c r="T13" s="130">
        <f t="shared" si="5"/>
        <v>6641</v>
      </c>
      <c r="U13" s="130">
        <f t="shared" si="6"/>
        <v>0</v>
      </c>
      <c r="V13" s="130">
        <f t="shared" si="7"/>
        <v>130533</v>
      </c>
      <c r="W13" s="130">
        <f t="shared" si="8"/>
        <v>4970</v>
      </c>
      <c r="X13" s="116">
        <f t="shared" si="9"/>
        <v>0.05288978441</v>
      </c>
      <c r="Y13" s="116">
        <f t="shared" si="10"/>
        <v>0.9471102156</v>
      </c>
      <c r="Z13" s="114">
        <f t="shared" si="11"/>
        <v>6641</v>
      </c>
      <c r="AA13" s="114">
        <f t="shared" si="12"/>
        <v>125563</v>
      </c>
      <c r="AB13" s="115">
        <f t="shared" si="13"/>
        <v>0.05288978441</v>
      </c>
      <c r="AC13" s="115">
        <f t="shared" si="14"/>
        <v>0.9471102156</v>
      </c>
      <c r="AD13" s="116"/>
      <c r="AE13" s="116"/>
      <c r="AF13" s="117"/>
      <c r="AG13" s="118" t="s">
        <v>51</v>
      </c>
      <c r="AH13" s="119">
        <v>0.0</v>
      </c>
      <c r="AI13" s="119">
        <v>0.0</v>
      </c>
      <c r="AJ13" s="119">
        <v>3351.0</v>
      </c>
      <c r="AK13" s="120">
        <v>35.0</v>
      </c>
      <c r="AL13" s="119">
        <v>582.0</v>
      </c>
      <c r="AM13" s="119">
        <v>259.0</v>
      </c>
      <c r="AN13" s="119">
        <v>6.0</v>
      </c>
      <c r="AO13" s="121">
        <v>59720.0</v>
      </c>
      <c r="AP13" s="131">
        <v>37363.0</v>
      </c>
      <c r="AQ13" s="119">
        <v>40.0</v>
      </c>
      <c r="AR13" s="119">
        <v>7.0</v>
      </c>
      <c r="AS13" s="119">
        <v>6388.0</v>
      </c>
      <c r="AT13" s="119">
        <v>978.0</v>
      </c>
      <c r="AU13" s="119">
        <v>27.0</v>
      </c>
      <c r="AV13" s="119">
        <v>978.0</v>
      </c>
      <c r="AW13" s="120">
        <v>0.0</v>
      </c>
      <c r="AX13" s="120">
        <v>2678.0</v>
      </c>
      <c r="AY13" s="120">
        <v>125683.0</v>
      </c>
      <c r="AZ13" s="123">
        <v>0.021307575407970847</v>
      </c>
      <c r="BA13" s="123">
        <v>0.9786924245920292</v>
      </c>
      <c r="BB13" s="116"/>
      <c r="BC13" s="116"/>
      <c r="BD13" s="116"/>
      <c r="BE13" s="116"/>
      <c r="BF13" s="116"/>
      <c r="BG13" s="116"/>
      <c r="BH13" s="116"/>
      <c r="BI13" s="116"/>
    </row>
    <row r="14" ht="15.75" customHeight="1">
      <c r="A14" s="112"/>
      <c r="B14" s="38" t="s">
        <v>52</v>
      </c>
      <c r="C14" s="269">
        <v>2091.0</v>
      </c>
      <c r="D14" s="269">
        <v>3316.0</v>
      </c>
      <c r="E14" s="269">
        <v>124.0</v>
      </c>
      <c r="F14" s="269">
        <v>674.0</v>
      </c>
      <c r="G14" s="269">
        <v>6405.0</v>
      </c>
      <c r="H14" s="269">
        <v>8879.0</v>
      </c>
      <c r="I14" s="269">
        <v>889.0</v>
      </c>
      <c r="J14" s="269">
        <v>379.0</v>
      </c>
      <c r="K14" s="269">
        <v>0.0</v>
      </c>
      <c r="L14" s="269">
        <v>242850.0</v>
      </c>
      <c r="M14" s="270">
        <v>135352.0</v>
      </c>
      <c r="N14" s="269">
        <v>913.0</v>
      </c>
      <c r="O14" s="269">
        <v>39100.0</v>
      </c>
      <c r="P14" s="269">
        <v>11542.0</v>
      </c>
      <c r="Q14" s="270"/>
      <c r="R14" s="269">
        <v>236.0</v>
      </c>
      <c r="S14" s="270"/>
      <c r="T14" s="130">
        <f t="shared" si="5"/>
        <v>12610</v>
      </c>
      <c r="U14" s="130">
        <f t="shared" si="6"/>
        <v>10147</v>
      </c>
      <c r="V14" s="130">
        <f t="shared" si="7"/>
        <v>378202</v>
      </c>
      <c r="W14" s="130">
        <f t="shared" si="8"/>
        <v>51791</v>
      </c>
      <c r="X14" s="116">
        <f t="shared" si="9"/>
        <v>0.06971885139</v>
      </c>
      <c r="Y14" s="116">
        <f t="shared" si="10"/>
        <v>0.9302811486</v>
      </c>
      <c r="Z14" s="114">
        <f t="shared" si="11"/>
        <v>22757</v>
      </c>
      <c r="AA14" s="114">
        <f t="shared" si="12"/>
        <v>326411</v>
      </c>
      <c r="AB14" s="115">
        <f t="shared" si="13"/>
        <v>0.06971885139</v>
      </c>
      <c r="AC14" s="115">
        <f t="shared" si="14"/>
        <v>0.9302811486</v>
      </c>
      <c r="AD14" s="116"/>
      <c r="AE14" s="116"/>
      <c r="AF14" s="117"/>
      <c r="AG14" s="118" t="s">
        <v>52</v>
      </c>
      <c r="AH14" s="119">
        <v>18.0</v>
      </c>
      <c r="AI14" s="119">
        <v>1183.0</v>
      </c>
      <c r="AJ14" s="119">
        <v>1326.0</v>
      </c>
      <c r="AK14" s="120">
        <v>0.0</v>
      </c>
      <c r="AL14" s="119">
        <v>15.0</v>
      </c>
      <c r="AM14" s="119">
        <v>132.0</v>
      </c>
      <c r="AN14" s="119">
        <v>36.0</v>
      </c>
      <c r="AO14" s="121">
        <v>31011.0</v>
      </c>
      <c r="AP14" s="131">
        <v>21424.0</v>
      </c>
      <c r="AQ14" s="119">
        <v>324.0</v>
      </c>
      <c r="AR14" s="119">
        <v>1543.0</v>
      </c>
      <c r="AS14" s="119">
        <v>604.0</v>
      </c>
      <c r="AT14" s="119">
        <v>115.0</v>
      </c>
      <c r="AU14" s="119">
        <v>23.0</v>
      </c>
      <c r="AV14" s="119">
        <v>115.0</v>
      </c>
      <c r="AW14" s="120">
        <v>1183.0</v>
      </c>
      <c r="AX14" s="120">
        <v>2470.0</v>
      </c>
      <c r="AY14" s="120">
        <v>425733.0</v>
      </c>
      <c r="AZ14" s="123">
        <v>0.005801758379077967</v>
      </c>
      <c r="BA14" s="123">
        <v>0.9941982416209221</v>
      </c>
      <c r="BB14" s="116"/>
      <c r="BC14" s="116"/>
      <c r="BD14" s="116"/>
      <c r="BE14" s="116"/>
      <c r="BF14" s="116"/>
      <c r="BG14" s="116"/>
      <c r="BH14" s="116"/>
      <c r="BI14" s="116"/>
    </row>
    <row r="15" ht="15.75" customHeight="1">
      <c r="A15" s="112"/>
      <c r="B15" s="38" t="s">
        <v>53</v>
      </c>
      <c r="C15" s="269">
        <v>0.0</v>
      </c>
      <c r="D15" s="269">
        <v>1280.0</v>
      </c>
      <c r="E15" s="269">
        <v>0.0</v>
      </c>
      <c r="F15" s="269">
        <v>261.0</v>
      </c>
      <c r="G15" s="269">
        <v>504.0</v>
      </c>
      <c r="H15" s="269">
        <v>460.0</v>
      </c>
      <c r="I15" s="269">
        <v>9.0</v>
      </c>
      <c r="J15" s="269">
        <v>8.0</v>
      </c>
      <c r="K15" s="269">
        <v>1.0</v>
      </c>
      <c r="L15" s="269">
        <v>29306.0</v>
      </c>
      <c r="M15" s="270">
        <v>19929.0</v>
      </c>
      <c r="N15" s="269">
        <v>26.0</v>
      </c>
      <c r="O15" s="269">
        <v>245.0</v>
      </c>
      <c r="P15" s="269">
        <v>1714.0</v>
      </c>
      <c r="Q15" s="270"/>
      <c r="R15" s="269">
        <v>4.0</v>
      </c>
      <c r="S15" s="270"/>
      <c r="T15" s="130">
        <f t="shared" si="5"/>
        <v>2045</v>
      </c>
      <c r="U15" s="130">
        <f t="shared" si="6"/>
        <v>478</v>
      </c>
      <c r="V15" s="130">
        <f t="shared" si="7"/>
        <v>49235</v>
      </c>
      <c r="W15" s="130">
        <f t="shared" si="8"/>
        <v>1989</v>
      </c>
      <c r="X15" s="116">
        <f t="shared" si="9"/>
        <v>0.05340134615</v>
      </c>
      <c r="Y15" s="116">
        <f t="shared" si="10"/>
        <v>0.9465986539</v>
      </c>
      <c r="Z15" s="114">
        <f t="shared" si="11"/>
        <v>2523</v>
      </c>
      <c r="AA15" s="114">
        <f t="shared" si="12"/>
        <v>47246</v>
      </c>
      <c r="AB15" s="115">
        <f t="shared" si="13"/>
        <v>0.05340134615</v>
      </c>
      <c r="AC15" s="115">
        <f t="shared" si="14"/>
        <v>0.9465986539</v>
      </c>
      <c r="AD15" s="116"/>
      <c r="AE15" s="116"/>
      <c r="AF15" s="117"/>
      <c r="AG15" s="118" t="s">
        <v>53</v>
      </c>
      <c r="AH15" s="119">
        <v>0.0</v>
      </c>
      <c r="AI15" s="119">
        <v>2092.0</v>
      </c>
      <c r="AJ15" s="119">
        <v>647.0</v>
      </c>
      <c r="AK15" s="120">
        <v>167.0</v>
      </c>
      <c r="AL15" s="119">
        <v>172.0</v>
      </c>
      <c r="AM15" s="119">
        <v>162.0</v>
      </c>
      <c r="AN15" s="119">
        <v>17.0</v>
      </c>
      <c r="AO15" s="121">
        <v>22205.0</v>
      </c>
      <c r="AP15" s="131">
        <v>15763.0</v>
      </c>
      <c r="AQ15" s="119">
        <v>52.0</v>
      </c>
      <c r="AR15" s="119">
        <v>93.0</v>
      </c>
      <c r="AS15" s="119">
        <v>652.0</v>
      </c>
      <c r="AT15" s="119">
        <v>94.0</v>
      </c>
      <c r="AU15" s="119">
        <v>88.0</v>
      </c>
      <c r="AV15" s="119">
        <v>94.0</v>
      </c>
      <c r="AW15" s="120">
        <v>2092.0</v>
      </c>
      <c r="AX15" s="120">
        <v>1978.0</v>
      </c>
      <c r="AY15" s="120">
        <v>38295.0</v>
      </c>
      <c r="AZ15" s="123">
        <v>0.05165165165165165</v>
      </c>
      <c r="BA15" s="123">
        <v>0.9483483483483484</v>
      </c>
      <c r="BB15" s="116"/>
      <c r="BC15" s="116"/>
      <c r="BD15" s="116"/>
      <c r="BE15" s="116"/>
      <c r="BF15" s="116"/>
      <c r="BG15" s="116"/>
      <c r="BH15" s="116"/>
      <c r="BI15" s="116"/>
    </row>
    <row r="16" ht="15.75" customHeight="1">
      <c r="A16" s="112"/>
      <c r="B16" s="38" t="s">
        <v>54</v>
      </c>
      <c r="C16" s="269"/>
      <c r="D16" s="269">
        <v>12449.0</v>
      </c>
      <c r="E16" s="269"/>
      <c r="F16" s="269">
        <v>330.0</v>
      </c>
      <c r="G16" s="269">
        <v>224.0</v>
      </c>
      <c r="H16" s="269">
        <v>721.0</v>
      </c>
      <c r="I16" s="269">
        <v>102.0</v>
      </c>
      <c r="J16" s="269">
        <v>41.0</v>
      </c>
      <c r="K16" s="269">
        <v>0.0</v>
      </c>
      <c r="L16" s="269">
        <v>134665.0</v>
      </c>
      <c r="M16" s="270">
        <v>74941.0</v>
      </c>
      <c r="N16" s="269">
        <v>663.0</v>
      </c>
      <c r="O16" s="269">
        <v>1299.0</v>
      </c>
      <c r="P16" s="269">
        <v>54631.0</v>
      </c>
      <c r="Q16" s="270"/>
      <c r="R16" s="269">
        <v>8.0</v>
      </c>
      <c r="S16" s="270"/>
      <c r="T16" s="130">
        <f t="shared" si="5"/>
        <v>13003</v>
      </c>
      <c r="U16" s="130">
        <f t="shared" si="6"/>
        <v>864</v>
      </c>
      <c r="V16" s="130">
        <f t="shared" si="7"/>
        <v>209606</v>
      </c>
      <c r="W16" s="130">
        <f t="shared" si="8"/>
        <v>56601</v>
      </c>
      <c r="X16" s="116">
        <f t="shared" si="9"/>
        <v>0.09063102513</v>
      </c>
      <c r="Y16" s="116">
        <f t="shared" si="10"/>
        <v>0.9093689749</v>
      </c>
      <c r="Z16" s="114">
        <f t="shared" si="11"/>
        <v>13867</v>
      </c>
      <c r="AA16" s="114">
        <f t="shared" si="12"/>
        <v>153005</v>
      </c>
      <c r="AB16" s="115">
        <f t="shared" si="13"/>
        <v>0.09063102513</v>
      </c>
      <c r="AC16" s="115">
        <f t="shared" si="14"/>
        <v>0.9093689749</v>
      </c>
      <c r="AD16" s="116"/>
      <c r="AE16" s="116"/>
      <c r="AF16" s="117"/>
      <c r="AG16" s="118" t="s">
        <v>54</v>
      </c>
      <c r="AH16" s="119">
        <v>10996.0</v>
      </c>
      <c r="AI16" s="119">
        <v>12.0</v>
      </c>
      <c r="AJ16" s="119">
        <v>2863.0</v>
      </c>
      <c r="AK16" s="120">
        <v>0.0</v>
      </c>
      <c r="AL16" s="119">
        <v>45.0</v>
      </c>
      <c r="AM16" s="119">
        <v>972.0</v>
      </c>
      <c r="AN16" s="119">
        <v>255.0</v>
      </c>
      <c r="AO16" s="121">
        <v>359304.0</v>
      </c>
      <c r="AP16" s="131">
        <v>78524.0</v>
      </c>
      <c r="AQ16" s="119">
        <v>10997.0</v>
      </c>
      <c r="AR16" s="119">
        <v>15631.0</v>
      </c>
      <c r="AS16" s="119">
        <v>21405.0</v>
      </c>
      <c r="AT16" s="119">
        <v>23.0</v>
      </c>
      <c r="AU16" s="119">
        <v>69.0</v>
      </c>
      <c r="AV16" s="119">
        <v>23.0</v>
      </c>
      <c r="AW16" s="120">
        <v>12.0</v>
      </c>
      <c r="AX16" s="120">
        <v>1558.0</v>
      </c>
      <c r="AY16" s="120">
        <v>139822.0</v>
      </c>
      <c r="AZ16" s="123">
        <v>0.01114273862482299</v>
      </c>
      <c r="BA16" s="123">
        <v>0.988857261375177</v>
      </c>
      <c r="BB16" s="116"/>
      <c r="BC16" s="116"/>
      <c r="BD16" s="116"/>
      <c r="BE16" s="116"/>
      <c r="BF16" s="116"/>
      <c r="BG16" s="116"/>
      <c r="BH16" s="116"/>
      <c r="BI16" s="116"/>
    </row>
    <row r="17" ht="15.75" customHeight="1">
      <c r="A17" s="112"/>
      <c r="B17" s="38" t="s">
        <v>55</v>
      </c>
      <c r="C17" s="269">
        <v>245.0</v>
      </c>
      <c r="D17" s="269">
        <v>1403.0</v>
      </c>
      <c r="E17" s="269">
        <v>1.0</v>
      </c>
      <c r="F17" s="269">
        <v>91.0</v>
      </c>
      <c r="G17" s="269">
        <v>23.0</v>
      </c>
      <c r="H17" s="269">
        <v>28.0</v>
      </c>
      <c r="I17" s="269">
        <v>48.0</v>
      </c>
      <c r="J17" s="269">
        <v>14.0</v>
      </c>
      <c r="K17" s="269">
        <v>0.0</v>
      </c>
      <c r="L17" s="269">
        <v>25169.0</v>
      </c>
      <c r="M17" s="270">
        <v>26567.0</v>
      </c>
      <c r="N17" s="269">
        <v>1468.0</v>
      </c>
      <c r="O17" s="269">
        <v>298.0</v>
      </c>
      <c r="P17" s="269">
        <v>8752.0</v>
      </c>
      <c r="Q17" s="270"/>
      <c r="R17" s="269">
        <v>125.0</v>
      </c>
      <c r="S17" s="270"/>
      <c r="T17" s="130">
        <f t="shared" si="5"/>
        <v>1763</v>
      </c>
      <c r="U17" s="130">
        <f t="shared" si="6"/>
        <v>90</v>
      </c>
      <c r="V17" s="130">
        <f t="shared" si="7"/>
        <v>51736</v>
      </c>
      <c r="W17" s="130">
        <f t="shared" si="8"/>
        <v>10643</v>
      </c>
      <c r="X17" s="116">
        <f t="shared" si="9"/>
        <v>0.0450928382</v>
      </c>
      <c r="Y17" s="116">
        <f t="shared" si="10"/>
        <v>0.9549071618</v>
      </c>
      <c r="Z17" s="114">
        <f t="shared" si="11"/>
        <v>1853</v>
      </c>
      <c r="AA17" s="114">
        <f t="shared" si="12"/>
        <v>41093</v>
      </c>
      <c r="AB17" s="115">
        <f t="shared" si="13"/>
        <v>0.0450928382</v>
      </c>
      <c r="AC17" s="115">
        <f t="shared" si="14"/>
        <v>0.9549071618</v>
      </c>
      <c r="AD17" s="116"/>
      <c r="AE17" s="116"/>
      <c r="AF17" s="117"/>
      <c r="AG17" s="118" t="s">
        <v>55</v>
      </c>
      <c r="AH17" s="119">
        <v>0.0</v>
      </c>
      <c r="AI17" s="119">
        <v>1.0</v>
      </c>
      <c r="AJ17" s="119">
        <v>15512.0</v>
      </c>
      <c r="AK17" s="120">
        <v>114.0</v>
      </c>
      <c r="AL17" s="119">
        <v>294.0</v>
      </c>
      <c r="AM17" s="119">
        <v>224.0</v>
      </c>
      <c r="AN17" s="119">
        <v>0.0</v>
      </c>
      <c r="AO17" s="121">
        <v>141751.0</v>
      </c>
      <c r="AP17" s="131">
        <v>22627.0</v>
      </c>
      <c r="AQ17" s="119">
        <v>4389.0</v>
      </c>
      <c r="AR17" s="119">
        <v>1343.0</v>
      </c>
      <c r="AS17" s="119">
        <v>62571.0</v>
      </c>
      <c r="AT17" s="119">
        <v>695.0</v>
      </c>
      <c r="AU17" s="119">
        <v>916.0</v>
      </c>
      <c r="AV17" s="119">
        <v>695.0</v>
      </c>
      <c r="AW17" s="120">
        <v>1.0</v>
      </c>
      <c r="AX17" s="120">
        <v>1659.0</v>
      </c>
      <c r="AY17" s="120">
        <v>136203.0</v>
      </c>
      <c r="AZ17" s="123">
        <v>0.01218034845047466</v>
      </c>
      <c r="BA17" s="123">
        <v>0.9878196515495253</v>
      </c>
      <c r="BB17" s="116"/>
      <c r="BC17" s="116"/>
      <c r="BD17" s="116"/>
      <c r="BE17" s="116"/>
      <c r="BF17" s="116"/>
      <c r="BG17" s="116"/>
      <c r="BH17" s="116"/>
      <c r="BI17" s="116"/>
    </row>
    <row r="18" ht="15.75" customHeight="1">
      <c r="A18" s="112"/>
      <c r="B18" s="38" t="s">
        <v>56</v>
      </c>
      <c r="C18" s="269">
        <v>3.0</v>
      </c>
      <c r="D18" s="269">
        <v>3474.0</v>
      </c>
      <c r="E18" s="269">
        <v>4.0</v>
      </c>
      <c r="F18" s="269">
        <v>74.0</v>
      </c>
      <c r="G18" s="269">
        <v>159.0</v>
      </c>
      <c r="H18" s="269">
        <v>108.0</v>
      </c>
      <c r="I18" s="269">
        <v>127.0</v>
      </c>
      <c r="J18" s="269">
        <v>53.0</v>
      </c>
      <c r="K18" s="269">
        <v>0.0</v>
      </c>
      <c r="L18" s="269">
        <v>45045.0</v>
      </c>
      <c r="M18" s="270">
        <v>78522.0</v>
      </c>
      <c r="N18" s="269">
        <v>43.0</v>
      </c>
      <c r="O18" s="269">
        <v>6353.0</v>
      </c>
      <c r="P18" s="269">
        <v>1660.0</v>
      </c>
      <c r="Q18" s="270"/>
      <c r="R18" s="269">
        <v>6526.0</v>
      </c>
      <c r="S18" s="270"/>
      <c r="T18" s="130">
        <f t="shared" si="5"/>
        <v>3714</v>
      </c>
      <c r="U18" s="130">
        <f t="shared" si="6"/>
        <v>288</v>
      </c>
      <c r="V18" s="130">
        <f t="shared" si="7"/>
        <v>123567</v>
      </c>
      <c r="W18" s="130">
        <f t="shared" si="8"/>
        <v>14582</v>
      </c>
      <c r="X18" s="116">
        <f t="shared" si="9"/>
        <v>0.03672064963</v>
      </c>
      <c r="Y18" s="116">
        <f t="shared" si="10"/>
        <v>0.9632793504</v>
      </c>
      <c r="Z18" s="114">
        <f t="shared" si="11"/>
        <v>4002</v>
      </c>
      <c r="AA18" s="114">
        <f t="shared" si="12"/>
        <v>108985</v>
      </c>
      <c r="AB18" s="115">
        <f t="shared" si="13"/>
        <v>0.03672064963</v>
      </c>
      <c r="AC18" s="115">
        <f t="shared" si="14"/>
        <v>0.9632793504</v>
      </c>
      <c r="AD18" s="116"/>
      <c r="AE18" s="116"/>
      <c r="AF18" s="117"/>
      <c r="AG18" s="118" t="s">
        <v>56</v>
      </c>
      <c r="AH18" s="119">
        <v>3.0</v>
      </c>
      <c r="AI18" s="119">
        <v>0.0</v>
      </c>
      <c r="AJ18" s="119">
        <v>669.0</v>
      </c>
      <c r="AK18" s="120">
        <v>9.0</v>
      </c>
      <c r="AL18" s="119">
        <v>4.0</v>
      </c>
      <c r="AM18" s="119">
        <v>53.0</v>
      </c>
      <c r="AN18" s="119">
        <v>3.0</v>
      </c>
      <c r="AO18" s="121">
        <v>26178.0</v>
      </c>
      <c r="AP18" s="131">
        <v>23204.0</v>
      </c>
      <c r="AQ18" s="119">
        <v>11.0</v>
      </c>
      <c r="AR18" s="119">
        <v>54.0</v>
      </c>
      <c r="AS18" s="119">
        <v>640.0</v>
      </c>
      <c r="AT18" s="119">
        <v>6.0</v>
      </c>
      <c r="AU18" s="119">
        <v>31.0</v>
      </c>
      <c r="AV18" s="119">
        <v>6.0</v>
      </c>
      <c r="AW18" s="120">
        <v>0.0</v>
      </c>
      <c r="AX18" s="120">
        <v>2358.0</v>
      </c>
      <c r="AY18" s="120">
        <v>225979.0</v>
      </c>
      <c r="AZ18" s="123">
        <v>0.010434597905115077</v>
      </c>
      <c r="BA18" s="123">
        <v>0.989565402094885</v>
      </c>
      <c r="BB18" s="116"/>
      <c r="BC18" s="116"/>
      <c r="BD18" s="116"/>
      <c r="BE18" s="116"/>
      <c r="BF18" s="116"/>
      <c r="BG18" s="116"/>
      <c r="BH18" s="116"/>
      <c r="BI18" s="116"/>
    </row>
    <row r="19" ht="15.75" customHeight="1">
      <c r="A19" s="112"/>
      <c r="B19" s="38" t="s">
        <v>57</v>
      </c>
      <c r="C19" s="269">
        <v>877.0</v>
      </c>
      <c r="D19" s="269">
        <v>10135.0</v>
      </c>
      <c r="E19" s="269">
        <v>365.0</v>
      </c>
      <c r="F19" s="269">
        <v>110.0</v>
      </c>
      <c r="G19" s="269">
        <v>163.0</v>
      </c>
      <c r="H19" s="269">
        <v>17.0</v>
      </c>
      <c r="I19" s="269">
        <v>19.0</v>
      </c>
      <c r="J19" s="269">
        <v>8.0</v>
      </c>
      <c r="K19" s="269">
        <v>0.0</v>
      </c>
      <c r="L19" s="269">
        <v>160611.0</v>
      </c>
      <c r="M19" s="270">
        <v>125826.0</v>
      </c>
      <c r="N19" s="269">
        <v>10170.0</v>
      </c>
      <c r="O19" s="269">
        <v>796.0</v>
      </c>
      <c r="P19" s="269">
        <v>4916.0</v>
      </c>
      <c r="Q19" s="270"/>
      <c r="R19" s="269">
        <v>1.0</v>
      </c>
      <c r="S19" s="270"/>
      <c r="T19" s="130">
        <f t="shared" si="5"/>
        <v>11650</v>
      </c>
      <c r="U19" s="130">
        <f t="shared" si="6"/>
        <v>44</v>
      </c>
      <c r="V19" s="130">
        <f t="shared" si="7"/>
        <v>286437</v>
      </c>
      <c r="W19" s="130">
        <f t="shared" si="8"/>
        <v>15883</v>
      </c>
      <c r="X19" s="116">
        <f t="shared" si="9"/>
        <v>0.0432224251</v>
      </c>
      <c r="Y19" s="116">
        <f t="shared" si="10"/>
        <v>0.9567775749</v>
      </c>
      <c r="Z19" s="114">
        <f t="shared" si="11"/>
        <v>11694</v>
      </c>
      <c r="AA19" s="114">
        <f t="shared" si="12"/>
        <v>270554</v>
      </c>
      <c r="AB19" s="115">
        <f t="shared" si="13"/>
        <v>0.0432224251</v>
      </c>
      <c r="AC19" s="115">
        <f t="shared" si="14"/>
        <v>0.9567775749</v>
      </c>
      <c r="AD19" s="116"/>
      <c r="AE19" s="116"/>
      <c r="AF19" s="117"/>
      <c r="AG19" s="118" t="s">
        <v>57</v>
      </c>
      <c r="AH19" s="119">
        <v>0.0</v>
      </c>
      <c r="AI19" s="119">
        <v>7.0</v>
      </c>
      <c r="AJ19" s="119">
        <v>2425.0</v>
      </c>
      <c r="AK19" s="120">
        <v>0.0</v>
      </c>
      <c r="AL19" s="119">
        <v>2.0</v>
      </c>
      <c r="AM19" s="119">
        <v>1.0</v>
      </c>
      <c r="AN19" s="119">
        <v>0.0</v>
      </c>
      <c r="AO19" s="121">
        <v>54496.0</v>
      </c>
      <c r="AP19" s="131">
        <v>27514.0</v>
      </c>
      <c r="AQ19" s="119">
        <v>8.0</v>
      </c>
      <c r="AR19" s="119">
        <v>239.0</v>
      </c>
      <c r="AS19" s="119">
        <v>267.0</v>
      </c>
      <c r="AT19" s="119">
        <v>3.0</v>
      </c>
      <c r="AU19" s="119">
        <v>37.0</v>
      </c>
      <c r="AV19" s="119">
        <v>3.0</v>
      </c>
      <c r="AW19" s="120">
        <v>7.0</v>
      </c>
      <c r="AX19" s="120">
        <v>5136.0</v>
      </c>
      <c r="AY19" s="120">
        <v>608626.0</v>
      </c>
      <c r="AZ19" s="123">
        <v>0.008438679911801337</v>
      </c>
      <c r="BA19" s="123">
        <v>0.9915613200881986</v>
      </c>
      <c r="BB19" s="116"/>
      <c r="BC19" s="116"/>
      <c r="BD19" s="116"/>
      <c r="BE19" s="116"/>
      <c r="BF19" s="116"/>
      <c r="BG19" s="116"/>
      <c r="BH19" s="116"/>
      <c r="BI19" s="116"/>
    </row>
    <row r="20" ht="15.75" customHeight="1">
      <c r="A20" s="179"/>
      <c r="B20" s="38" t="s">
        <v>58</v>
      </c>
      <c r="C20" s="269">
        <v>950.0</v>
      </c>
      <c r="D20" s="269">
        <v>4374.0</v>
      </c>
      <c r="E20" s="269">
        <v>1361.0</v>
      </c>
      <c r="F20" s="269">
        <v>0.0</v>
      </c>
      <c r="G20" s="269">
        <v>0.0</v>
      </c>
      <c r="H20" s="269">
        <v>3271.0</v>
      </c>
      <c r="I20" s="269">
        <v>2904.0</v>
      </c>
      <c r="J20" s="269">
        <v>29.0</v>
      </c>
      <c r="K20" s="269">
        <v>65.0</v>
      </c>
      <c r="L20" s="269">
        <v>354602.0</v>
      </c>
      <c r="M20" s="270">
        <v>134243.0</v>
      </c>
      <c r="N20" s="269">
        <v>2997.0</v>
      </c>
      <c r="O20" s="269">
        <v>11996.0</v>
      </c>
      <c r="P20" s="269">
        <v>35022.0</v>
      </c>
      <c r="Q20" s="270"/>
      <c r="R20" s="269">
        <v>422.0</v>
      </c>
      <c r="S20" s="270"/>
      <c r="T20" s="130">
        <f t="shared" si="5"/>
        <v>6685</v>
      </c>
      <c r="U20" s="130">
        <f t="shared" si="6"/>
        <v>6269</v>
      </c>
      <c r="V20" s="130">
        <f t="shared" si="7"/>
        <v>488845</v>
      </c>
      <c r="W20" s="130">
        <f t="shared" si="8"/>
        <v>50437</v>
      </c>
      <c r="X20" s="116">
        <f t="shared" si="9"/>
        <v>0.02954781847</v>
      </c>
      <c r="Y20" s="116">
        <f t="shared" si="10"/>
        <v>0.9704521815</v>
      </c>
      <c r="Z20" s="114">
        <f t="shared" si="11"/>
        <v>12954</v>
      </c>
      <c r="AA20" s="114">
        <f t="shared" si="12"/>
        <v>438408</v>
      </c>
      <c r="AB20" s="115">
        <f t="shared" si="13"/>
        <v>0.02954781847</v>
      </c>
      <c r="AC20" s="115">
        <f t="shared" si="14"/>
        <v>0.9704521815</v>
      </c>
      <c r="AD20" s="116"/>
      <c r="AE20" s="116"/>
      <c r="AF20" s="117"/>
      <c r="AG20" s="118" t="s">
        <v>58</v>
      </c>
      <c r="AH20" s="119">
        <v>0.0</v>
      </c>
      <c r="AI20" s="119">
        <v>982.0</v>
      </c>
      <c r="AJ20" s="119">
        <v>6525.0</v>
      </c>
      <c r="AK20" s="120">
        <v>197.0</v>
      </c>
      <c r="AL20" s="119">
        <v>1733.0</v>
      </c>
      <c r="AM20" s="119">
        <v>937.0</v>
      </c>
      <c r="AN20" s="119">
        <v>207.0</v>
      </c>
      <c r="AO20" s="121">
        <v>131694.0</v>
      </c>
      <c r="AP20" s="131">
        <v>27514.0</v>
      </c>
      <c r="AQ20" s="119">
        <v>1930.0</v>
      </c>
      <c r="AR20" s="119">
        <v>2.0</v>
      </c>
      <c r="AS20" s="119">
        <v>44.0</v>
      </c>
      <c r="AT20" s="119">
        <v>161.0</v>
      </c>
      <c r="AU20" s="119">
        <v>582.0</v>
      </c>
      <c r="AV20" s="119">
        <v>161.0</v>
      </c>
      <c r="AW20" s="120">
        <v>982.0</v>
      </c>
      <c r="AX20" s="120">
        <v>52872.0</v>
      </c>
      <c r="AY20" s="120">
        <v>512876.0</v>
      </c>
      <c r="AZ20" s="123">
        <v>0.10308924574361054</v>
      </c>
      <c r="BA20" s="123">
        <v>0.8969107542563894</v>
      </c>
      <c r="BB20" s="116"/>
      <c r="BC20" s="116"/>
      <c r="BD20" s="116"/>
      <c r="BE20" s="116"/>
      <c r="BF20" s="116"/>
      <c r="BG20" s="116"/>
      <c r="BH20" s="116"/>
      <c r="BI20" s="116"/>
    </row>
    <row r="21" ht="15.75" customHeight="1">
      <c r="A21" s="179"/>
      <c r="B21" s="38" t="s">
        <v>59</v>
      </c>
      <c r="C21" s="269">
        <v>7.0</v>
      </c>
      <c r="D21" s="269">
        <v>3727.0</v>
      </c>
      <c r="E21" s="269">
        <v>0.0</v>
      </c>
      <c r="F21" s="269">
        <v>85.0</v>
      </c>
      <c r="G21" s="269">
        <v>9.0</v>
      </c>
      <c r="H21" s="269"/>
      <c r="I21" s="269">
        <v>61.0</v>
      </c>
      <c r="J21" s="269">
        <v>62.0</v>
      </c>
      <c r="K21" s="269">
        <v>0.0</v>
      </c>
      <c r="L21" s="269">
        <v>44870.0</v>
      </c>
      <c r="M21" s="270">
        <v>19488.0</v>
      </c>
      <c r="N21" s="269">
        <v>839.0</v>
      </c>
      <c r="O21" s="269">
        <v>1041.0</v>
      </c>
      <c r="P21" s="269">
        <v>1881.0</v>
      </c>
      <c r="Q21" s="270"/>
      <c r="R21" s="269">
        <v>0.0</v>
      </c>
      <c r="S21" s="270"/>
      <c r="T21" s="130">
        <f t="shared" si="5"/>
        <v>3828</v>
      </c>
      <c r="U21" s="130">
        <f t="shared" si="6"/>
        <v>123</v>
      </c>
      <c r="V21" s="130">
        <f t="shared" si="7"/>
        <v>64358</v>
      </c>
      <c r="W21" s="130">
        <f t="shared" si="8"/>
        <v>3761</v>
      </c>
      <c r="X21" s="116">
        <f t="shared" si="9"/>
        <v>0.06520124759</v>
      </c>
      <c r="Y21" s="116">
        <f t="shared" si="10"/>
        <v>0.9347987524</v>
      </c>
      <c r="Z21" s="114">
        <f t="shared" si="11"/>
        <v>3951</v>
      </c>
      <c r="AA21" s="114">
        <f t="shared" si="12"/>
        <v>60597</v>
      </c>
      <c r="AB21" s="115">
        <f t="shared" si="13"/>
        <v>0.06520124759</v>
      </c>
      <c r="AC21" s="115">
        <f t="shared" si="14"/>
        <v>0.9347987524</v>
      </c>
      <c r="AD21" s="116"/>
      <c r="AE21" s="116"/>
      <c r="AF21" s="117"/>
      <c r="AG21" s="118" t="s">
        <v>59</v>
      </c>
      <c r="AH21" s="119">
        <v>0.0</v>
      </c>
      <c r="AI21" s="119">
        <v>59.0</v>
      </c>
      <c r="AJ21" s="119">
        <v>4654.0</v>
      </c>
      <c r="AK21" s="120">
        <v>26.0</v>
      </c>
      <c r="AL21" s="119">
        <v>3.0</v>
      </c>
      <c r="AM21" s="119">
        <v>24.0</v>
      </c>
      <c r="AN21" s="119">
        <v>2.0</v>
      </c>
      <c r="AO21" s="121">
        <v>48858.0</v>
      </c>
      <c r="AP21" s="131">
        <v>32935.0</v>
      </c>
      <c r="AQ21" s="119">
        <v>456.0</v>
      </c>
      <c r="AR21" s="119">
        <v>1186.0</v>
      </c>
      <c r="AS21" s="119">
        <v>2559.0</v>
      </c>
      <c r="AT21" s="119">
        <v>22.0</v>
      </c>
      <c r="AU21" s="119">
        <v>36.0</v>
      </c>
      <c r="AV21" s="119">
        <v>22.0</v>
      </c>
      <c r="AW21" s="120">
        <v>59.0</v>
      </c>
      <c r="AX21" s="135"/>
      <c r="AY21" s="135"/>
      <c r="AZ21" s="136"/>
      <c r="BA21" s="136"/>
      <c r="BB21" s="116"/>
      <c r="BC21" s="116"/>
      <c r="BD21" s="116"/>
      <c r="BE21" s="116"/>
      <c r="BF21" s="116"/>
      <c r="BG21" s="116"/>
      <c r="BH21" s="116"/>
      <c r="BI21" s="116"/>
    </row>
    <row r="22" ht="15.75" customHeight="1">
      <c r="A22" s="179"/>
      <c r="B22" s="38" t="s">
        <v>60</v>
      </c>
      <c r="C22" s="269">
        <v>0.0</v>
      </c>
      <c r="D22" s="269">
        <v>3635.0</v>
      </c>
      <c r="E22" s="269">
        <v>24.0</v>
      </c>
      <c r="F22" s="269">
        <v>49.0</v>
      </c>
      <c r="G22" s="269">
        <v>133.0</v>
      </c>
      <c r="H22" s="269">
        <v>17.0</v>
      </c>
      <c r="I22" s="269">
        <v>76.0</v>
      </c>
      <c r="J22" s="269">
        <v>74.0</v>
      </c>
      <c r="K22" s="269">
        <v>0.0</v>
      </c>
      <c r="L22" s="269">
        <v>46256.0</v>
      </c>
      <c r="M22" s="270">
        <v>33618.0</v>
      </c>
      <c r="N22" s="269">
        <v>462.0</v>
      </c>
      <c r="O22" s="269">
        <v>1140.0</v>
      </c>
      <c r="P22" s="269">
        <v>5671.0</v>
      </c>
      <c r="Q22" s="270"/>
      <c r="R22" s="269">
        <v>5.0</v>
      </c>
      <c r="S22" s="270"/>
      <c r="T22" s="130">
        <f t="shared" si="5"/>
        <v>3841</v>
      </c>
      <c r="U22" s="130">
        <f t="shared" si="6"/>
        <v>167</v>
      </c>
      <c r="V22" s="130">
        <f t="shared" si="7"/>
        <v>79874</v>
      </c>
      <c r="W22" s="130">
        <f t="shared" si="8"/>
        <v>7278</v>
      </c>
      <c r="X22" s="116">
        <f t="shared" si="9"/>
        <v>0.05520965342</v>
      </c>
      <c r="Y22" s="116">
        <f t="shared" si="10"/>
        <v>0.9447903466</v>
      </c>
      <c r="Z22" s="114">
        <f t="shared" si="11"/>
        <v>4008</v>
      </c>
      <c r="AA22" s="114">
        <f t="shared" si="12"/>
        <v>72596</v>
      </c>
      <c r="AB22" s="115">
        <f t="shared" si="13"/>
        <v>0.05520965342</v>
      </c>
      <c r="AC22" s="115">
        <f t="shared" si="14"/>
        <v>0.9447903466</v>
      </c>
      <c r="AD22" s="116"/>
      <c r="AE22" s="116"/>
      <c r="AF22" s="117"/>
      <c r="AG22" s="118" t="s">
        <v>60</v>
      </c>
      <c r="AH22" s="119">
        <v>0.0</v>
      </c>
      <c r="AI22" s="119">
        <v>715.0</v>
      </c>
      <c r="AJ22" s="119">
        <v>818.0</v>
      </c>
      <c r="AK22" s="120">
        <v>1.0</v>
      </c>
      <c r="AL22" s="119">
        <v>56.0</v>
      </c>
      <c r="AM22" s="119">
        <v>114.0</v>
      </c>
      <c r="AN22" s="119">
        <v>191.0</v>
      </c>
      <c r="AO22" s="121">
        <v>46258.0</v>
      </c>
      <c r="AP22" s="131">
        <v>37050.0</v>
      </c>
      <c r="AQ22" s="119">
        <v>297.0</v>
      </c>
      <c r="AR22" s="119">
        <v>960.0</v>
      </c>
      <c r="AS22" s="119">
        <v>1229.0</v>
      </c>
      <c r="AT22" s="119">
        <v>11.0</v>
      </c>
      <c r="AU22" s="119">
        <v>18.0</v>
      </c>
      <c r="AV22" s="119">
        <v>11.0</v>
      </c>
      <c r="AW22" s="120">
        <v>715.0</v>
      </c>
      <c r="AX22" s="120">
        <v>1688.0</v>
      </c>
      <c r="AY22" s="120">
        <v>79016.0</v>
      </c>
      <c r="AZ22" s="123">
        <v>0.02136276197225878</v>
      </c>
      <c r="BA22" s="123">
        <v>0.9786372380277413</v>
      </c>
      <c r="BB22" s="116"/>
      <c r="BC22" s="116"/>
      <c r="BD22" s="116"/>
      <c r="BE22" s="116"/>
      <c r="BF22" s="116"/>
      <c r="BG22" s="116"/>
      <c r="BH22" s="116"/>
      <c r="BI22" s="116"/>
    </row>
    <row r="23" ht="15.75" customHeight="1">
      <c r="A23" s="112"/>
      <c r="B23" s="38" t="s">
        <v>61</v>
      </c>
      <c r="C23" s="269">
        <v>0.0</v>
      </c>
      <c r="D23" s="269">
        <v>4200.0</v>
      </c>
      <c r="E23" s="269">
        <v>0.0</v>
      </c>
      <c r="F23" s="269"/>
      <c r="G23" s="269"/>
      <c r="H23" s="269"/>
      <c r="I23" s="269"/>
      <c r="J23" s="269"/>
      <c r="K23" s="269"/>
      <c r="L23" s="269">
        <v>4623.0</v>
      </c>
      <c r="M23" s="270">
        <v>2224.0</v>
      </c>
      <c r="N23" s="269">
        <v>0.0</v>
      </c>
      <c r="O23" s="269">
        <v>0.0</v>
      </c>
      <c r="P23" s="269">
        <v>274.0</v>
      </c>
      <c r="Q23" s="270"/>
      <c r="R23" s="269">
        <v>0.0</v>
      </c>
      <c r="S23" s="270"/>
      <c r="T23" s="130">
        <f t="shared" si="5"/>
        <v>4200</v>
      </c>
      <c r="U23" s="130">
        <f t="shared" si="6"/>
        <v>0</v>
      </c>
      <c r="V23" s="130">
        <f t="shared" si="7"/>
        <v>6847</v>
      </c>
      <c r="W23" s="130">
        <f t="shared" si="8"/>
        <v>274</v>
      </c>
      <c r="X23" s="116">
        <f t="shared" si="9"/>
        <v>0.6389776358</v>
      </c>
      <c r="Y23" s="116">
        <f t="shared" si="10"/>
        <v>0.3610223642</v>
      </c>
      <c r="Z23" s="133"/>
      <c r="AA23" s="133"/>
      <c r="AB23" s="134"/>
      <c r="AC23" s="134"/>
      <c r="AD23" s="116"/>
      <c r="AE23" s="116"/>
      <c r="AF23" s="117"/>
      <c r="AG23" s="140" t="s">
        <v>61</v>
      </c>
      <c r="AH23" s="141"/>
      <c r="AI23" s="142">
        <v>0.0</v>
      </c>
      <c r="AJ23" s="141"/>
      <c r="AK23" s="141"/>
      <c r="AL23" s="142">
        <v>0.0</v>
      </c>
      <c r="AM23" s="142">
        <v>0.0</v>
      </c>
      <c r="AN23" s="142">
        <v>0.0</v>
      </c>
      <c r="AO23" s="143">
        <v>0.0</v>
      </c>
      <c r="AP23" s="144">
        <v>5333.0</v>
      </c>
      <c r="AQ23" s="142">
        <v>0.0</v>
      </c>
      <c r="AR23" s="142">
        <v>0.0</v>
      </c>
      <c r="AS23" s="142">
        <v>0.0</v>
      </c>
      <c r="AT23" s="141"/>
      <c r="AU23" s="142">
        <v>0.0</v>
      </c>
      <c r="AV23" s="142">
        <v>0.0</v>
      </c>
      <c r="AW23" s="141"/>
      <c r="AX23" s="120">
        <v>439.0</v>
      </c>
      <c r="AY23" s="120">
        <v>24969.0</v>
      </c>
      <c r="AZ23" s="117">
        <v>0.017581801433777886</v>
      </c>
      <c r="BA23" s="123">
        <v>0.9824181985662221</v>
      </c>
      <c r="BB23" s="116"/>
      <c r="BC23" s="116"/>
      <c r="BD23" s="116"/>
      <c r="BE23" s="116"/>
      <c r="BF23" s="116"/>
      <c r="BG23" s="116"/>
      <c r="BH23" s="116"/>
      <c r="BI23" s="116"/>
    </row>
    <row r="24" ht="15.75" customHeight="1">
      <c r="A24" s="112"/>
      <c r="B24" s="38" t="s">
        <v>62</v>
      </c>
      <c r="C24" s="269">
        <v>5.0</v>
      </c>
      <c r="D24" s="269">
        <v>5474.0</v>
      </c>
      <c r="E24" s="269">
        <v>5.0</v>
      </c>
      <c r="F24" s="269"/>
      <c r="G24" s="269"/>
      <c r="H24" s="269"/>
      <c r="I24" s="269">
        <v>2351.0</v>
      </c>
      <c r="J24" s="269">
        <v>442.0</v>
      </c>
      <c r="K24" s="269">
        <v>0.0</v>
      </c>
      <c r="L24" s="269">
        <v>74211.0</v>
      </c>
      <c r="M24" s="270">
        <v>57524.0</v>
      </c>
      <c r="N24" s="269">
        <v>28.0</v>
      </c>
      <c r="O24" s="269">
        <v>1681.0</v>
      </c>
      <c r="P24" s="269">
        <v>1500.0</v>
      </c>
      <c r="Q24" s="270"/>
      <c r="R24" s="269">
        <v>1681.0</v>
      </c>
      <c r="S24" s="270"/>
      <c r="T24" s="130">
        <f t="shared" si="5"/>
        <v>5484</v>
      </c>
      <c r="U24" s="130">
        <f t="shared" si="6"/>
        <v>2793</v>
      </c>
      <c r="V24" s="130">
        <f t="shared" si="7"/>
        <v>131735</v>
      </c>
      <c r="W24" s="130">
        <f t="shared" si="8"/>
        <v>4890</v>
      </c>
      <c r="X24" s="116">
        <f t="shared" si="9"/>
        <v>0.06525286767</v>
      </c>
      <c r="Y24" s="116">
        <f t="shared" si="10"/>
        <v>0.9347471323</v>
      </c>
      <c r="Z24" s="114">
        <f t="shared" ref="Z24:Z30" si="15">SUM(C24:K24)</f>
        <v>8277</v>
      </c>
      <c r="AA24" s="114">
        <f t="shared" ref="AA24:AA30" si="16">((L24+M24)-(SUM(N24:S24)))</f>
        <v>126845</v>
      </c>
      <c r="AB24" s="115">
        <f t="shared" ref="AB24:AB30" si="17">Z24/AA24</f>
        <v>0.06525286767</v>
      </c>
      <c r="AC24" s="115">
        <f t="shared" ref="AC24:AC30" si="18">100%-AB24</f>
        <v>0.9347471323</v>
      </c>
      <c r="AD24" s="116"/>
      <c r="AE24" s="116"/>
      <c r="AF24" s="117"/>
      <c r="AG24" s="118" t="s">
        <v>62</v>
      </c>
      <c r="AH24" s="119">
        <v>338.0</v>
      </c>
      <c r="AI24" s="119">
        <v>7141.0</v>
      </c>
      <c r="AJ24" s="119">
        <v>5609.0</v>
      </c>
      <c r="AK24" s="120">
        <v>67.0</v>
      </c>
      <c r="AL24" s="119">
        <v>388.0</v>
      </c>
      <c r="AM24" s="119">
        <v>815.0</v>
      </c>
      <c r="AN24" s="119">
        <v>233.0</v>
      </c>
      <c r="AO24" s="121">
        <v>95562.0</v>
      </c>
      <c r="AP24" s="131">
        <v>134403.0</v>
      </c>
      <c r="AQ24" s="119">
        <v>1213.0</v>
      </c>
      <c r="AR24" s="119">
        <v>585.0</v>
      </c>
      <c r="AS24" s="119">
        <v>703.0</v>
      </c>
      <c r="AT24" s="119">
        <v>185.0</v>
      </c>
      <c r="AU24" s="119">
        <v>192.0</v>
      </c>
      <c r="AV24" s="119">
        <v>185.0</v>
      </c>
      <c r="AW24" s="120">
        <v>7141.0</v>
      </c>
      <c r="AX24" s="120">
        <v>15202.0</v>
      </c>
      <c r="AY24" s="120">
        <v>267767.0</v>
      </c>
      <c r="AZ24" s="123">
        <v>0.05677323942083976</v>
      </c>
      <c r="BA24" s="123">
        <v>0.9432267605791602</v>
      </c>
      <c r="BB24" s="116"/>
      <c r="BC24" s="116"/>
      <c r="BD24" s="116"/>
      <c r="BE24" s="116"/>
      <c r="BF24" s="116"/>
      <c r="BG24" s="116"/>
      <c r="BH24" s="116"/>
      <c r="BI24" s="116"/>
    </row>
    <row r="25" ht="15.75" customHeight="1">
      <c r="A25" s="112"/>
      <c r="B25" s="38" t="s">
        <v>63</v>
      </c>
      <c r="C25" s="269">
        <v>133.0</v>
      </c>
      <c r="D25" s="269">
        <v>3773.0</v>
      </c>
      <c r="E25" s="269">
        <v>2.0</v>
      </c>
      <c r="F25" s="269">
        <v>54.0</v>
      </c>
      <c r="G25" s="269">
        <v>43.0</v>
      </c>
      <c r="H25" s="269">
        <v>0.0</v>
      </c>
      <c r="I25" s="269">
        <v>0.0</v>
      </c>
      <c r="J25" s="269">
        <v>0.0</v>
      </c>
      <c r="K25" s="269">
        <v>0.0</v>
      </c>
      <c r="L25" s="269">
        <v>45181.0</v>
      </c>
      <c r="M25" s="270">
        <v>32048.0</v>
      </c>
      <c r="N25" s="269">
        <v>1587.0</v>
      </c>
      <c r="O25" s="269">
        <v>260.0</v>
      </c>
      <c r="P25" s="269">
        <v>941.0</v>
      </c>
      <c r="Q25" s="270"/>
      <c r="R25" s="269"/>
      <c r="S25" s="270"/>
      <c r="T25" s="130">
        <f t="shared" si="5"/>
        <v>4005</v>
      </c>
      <c r="U25" s="130">
        <f t="shared" si="6"/>
        <v>0</v>
      </c>
      <c r="V25" s="130">
        <f t="shared" si="7"/>
        <v>77229</v>
      </c>
      <c r="W25" s="130">
        <f t="shared" si="8"/>
        <v>2788</v>
      </c>
      <c r="X25" s="116">
        <f t="shared" si="9"/>
        <v>0.05380099676</v>
      </c>
      <c r="Y25" s="116">
        <f t="shared" si="10"/>
        <v>0.9461990032</v>
      </c>
      <c r="Z25" s="114">
        <f t="shared" si="15"/>
        <v>4005</v>
      </c>
      <c r="AA25" s="114">
        <f t="shared" si="16"/>
        <v>74441</v>
      </c>
      <c r="AB25" s="115">
        <f t="shared" si="17"/>
        <v>0.05380099676</v>
      </c>
      <c r="AC25" s="115">
        <f t="shared" si="18"/>
        <v>0.9461990032</v>
      </c>
      <c r="AD25" s="116"/>
      <c r="AE25" s="116"/>
      <c r="AF25" s="117"/>
      <c r="AG25" s="118" t="s">
        <v>63</v>
      </c>
      <c r="AH25" s="119">
        <v>29.0</v>
      </c>
      <c r="AI25" s="119">
        <v>1632.0</v>
      </c>
      <c r="AJ25" s="119">
        <v>1017.0</v>
      </c>
      <c r="AK25" s="120">
        <v>14.0</v>
      </c>
      <c r="AL25" s="119">
        <v>8.0</v>
      </c>
      <c r="AM25" s="119">
        <v>40.0</v>
      </c>
      <c r="AN25" s="119">
        <v>22.0</v>
      </c>
      <c r="AO25" s="121">
        <v>43677.0</v>
      </c>
      <c r="AP25" s="131">
        <v>32827.0</v>
      </c>
      <c r="AQ25" s="119">
        <v>675.0</v>
      </c>
      <c r="AR25" s="119">
        <v>0.0</v>
      </c>
      <c r="AS25" s="119">
        <v>368.0</v>
      </c>
      <c r="AT25" s="119">
        <v>34.0</v>
      </c>
      <c r="AU25" s="119">
        <v>1.0</v>
      </c>
      <c r="AV25" s="119">
        <v>34.0</v>
      </c>
      <c r="AW25" s="120">
        <v>1632.0</v>
      </c>
      <c r="AX25" s="120">
        <v>178.0</v>
      </c>
      <c r="AY25" s="120">
        <v>108766.0</v>
      </c>
      <c r="AZ25" s="123">
        <v>0.001636540830774323</v>
      </c>
      <c r="BA25" s="123">
        <v>0.9983634591692256</v>
      </c>
      <c r="BB25" s="116"/>
      <c r="BC25" s="116"/>
      <c r="BD25" s="116"/>
      <c r="BE25" s="116"/>
      <c r="BF25" s="116"/>
      <c r="BG25" s="116"/>
      <c r="BH25" s="116"/>
      <c r="BI25" s="116"/>
    </row>
    <row r="26" ht="15.75" customHeight="1">
      <c r="A26" s="112"/>
      <c r="B26" s="38" t="s">
        <v>64</v>
      </c>
      <c r="C26" s="269">
        <v>3.0</v>
      </c>
      <c r="D26" s="269">
        <v>5492.0</v>
      </c>
      <c r="E26" s="269">
        <v>0.0</v>
      </c>
      <c r="F26" s="269">
        <v>118.0</v>
      </c>
      <c r="G26" s="269">
        <v>84.0</v>
      </c>
      <c r="H26" s="269">
        <v>22.0</v>
      </c>
      <c r="I26" s="269">
        <v>35.0</v>
      </c>
      <c r="J26" s="269">
        <v>13.0</v>
      </c>
      <c r="K26" s="269">
        <v>0.0</v>
      </c>
      <c r="L26" s="269">
        <v>76075.0</v>
      </c>
      <c r="M26" s="270">
        <v>80797.0</v>
      </c>
      <c r="N26" s="269">
        <v>9780.0</v>
      </c>
      <c r="O26" s="269">
        <v>1146.0</v>
      </c>
      <c r="P26" s="269">
        <v>18632.0</v>
      </c>
      <c r="Q26" s="270"/>
      <c r="R26" s="269">
        <v>6.0</v>
      </c>
      <c r="S26" s="270"/>
      <c r="T26" s="130">
        <f t="shared" si="5"/>
        <v>5697</v>
      </c>
      <c r="U26" s="130">
        <f t="shared" si="6"/>
        <v>70</v>
      </c>
      <c r="V26" s="130">
        <f t="shared" si="7"/>
        <v>156872</v>
      </c>
      <c r="W26" s="130">
        <f t="shared" si="8"/>
        <v>29564</v>
      </c>
      <c r="X26" s="116">
        <f t="shared" si="9"/>
        <v>0.0452995884</v>
      </c>
      <c r="Y26" s="116">
        <f t="shared" si="10"/>
        <v>0.9547004116</v>
      </c>
      <c r="Z26" s="114">
        <f t="shared" si="15"/>
        <v>5767</v>
      </c>
      <c r="AA26" s="114">
        <f t="shared" si="16"/>
        <v>127308</v>
      </c>
      <c r="AB26" s="115">
        <f t="shared" si="17"/>
        <v>0.0452995884</v>
      </c>
      <c r="AC26" s="115">
        <f t="shared" si="18"/>
        <v>0.9547004116</v>
      </c>
      <c r="AD26" s="116"/>
      <c r="AE26" s="116"/>
      <c r="AF26" s="117"/>
      <c r="AG26" s="118" t="s">
        <v>64</v>
      </c>
      <c r="AH26" s="119">
        <v>21.0</v>
      </c>
      <c r="AI26" s="119">
        <v>36.0</v>
      </c>
      <c r="AJ26" s="119">
        <v>4703.0</v>
      </c>
      <c r="AK26" s="120">
        <v>27.0</v>
      </c>
      <c r="AL26" s="119">
        <v>8.0</v>
      </c>
      <c r="AM26" s="119">
        <v>4.0</v>
      </c>
      <c r="AN26" s="119">
        <v>9.0</v>
      </c>
      <c r="AO26" s="121">
        <v>77244.0</v>
      </c>
      <c r="AP26" s="131">
        <v>36369.0</v>
      </c>
      <c r="AQ26" s="119">
        <v>2.0</v>
      </c>
      <c r="AR26" s="119">
        <v>70.0</v>
      </c>
      <c r="AS26" s="119">
        <v>32699.0</v>
      </c>
      <c r="AT26" s="119">
        <v>12.0</v>
      </c>
      <c r="AU26" s="119">
        <v>173.0</v>
      </c>
      <c r="AV26" s="119">
        <v>12.0</v>
      </c>
      <c r="AW26" s="120">
        <v>36.0</v>
      </c>
      <c r="AX26" s="120">
        <v>9717.0</v>
      </c>
      <c r="AY26" s="120">
        <v>66757.0</v>
      </c>
      <c r="AZ26" s="123">
        <v>0.14555776922270325</v>
      </c>
      <c r="BA26" s="123">
        <v>0.8544422307772968</v>
      </c>
      <c r="BB26" s="116"/>
      <c r="BC26" s="116"/>
      <c r="BD26" s="116"/>
      <c r="BE26" s="116"/>
      <c r="BF26" s="116"/>
      <c r="BG26" s="116"/>
      <c r="BH26" s="116"/>
      <c r="BI26" s="116"/>
    </row>
    <row r="27" ht="15.75" customHeight="1">
      <c r="A27" s="112"/>
      <c r="B27" s="38" t="s">
        <v>65</v>
      </c>
      <c r="C27" s="269">
        <v>1003.0</v>
      </c>
      <c r="D27" s="269">
        <v>6038.0</v>
      </c>
      <c r="E27" s="269">
        <v>28.0</v>
      </c>
      <c r="F27" s="269">
        <v>230.0</v>
      </c>
      <c r="G27" s="269">
        <v>447.0</v>
      </c>
      <c r="H27" s="269">
        <v>659.0</v>
      </c>
      <c r="I27" s="269">
        <v>138.0</v>
      </c>
      <c r="J27" s="269">
        <v>23.0</v>
      </c>
      <c r="K27" s="269">
        <v>1.0</v>
      </c>
      <c r="L27" s="269">
        <v>57556.0</v>
      </c>
      <c r="M27" s="270">
        <v>40746.0</v>
      </c>
      <c r="N27" s="269">
        <v>1234.0</v>
      </c>
      <c r="O27" s="269">
        <v>2352.0</v>
      </c>
      <c r="P27" s="269">
        <v>14482.0</v>
      </c>
      <c r="Q27" s="270"/>
      <c r="R27" s="269">
        <v>21.0</v>
      </c>
      <c r="S27" s="270"/>
      <c r="T27" s="130">
        <f t="shared" si="5"/>
        <v>7746</v>
      </c>
      <c r="U27" s="130">
        <f t="shared" si="6"/>
        <v>821</v>
      </c>
      <c r="V27" s="130">
        <f t="shared" si="7"/>
        <v>98302</v>
      </c>
      <c r="W27" s="130">
        <f t="shared" si="8"/>
        <v>18089</v>
      </c>
      <c r="X27" s="116">
        <f t="shared" si="9"/>
        <v>0.1068031366</v>
      </c>
      <c r="Y27" s="116">
        <f t="shared" si="10"/>
        <v>0.8931968634</v>
      </c>
      <c r="Z27" s="114">
        <f t="shared" si="15"/>
        <v>8567</v>
      </c>
      <c r="AA27" s="114">
        <f t="shared" si="16"/>
        <v>80213</v>
      </c>
      <c r="AB27" s="115">
        <f t="shared" si="17"/>
        <v>0.1068031366</v>
      </c>
      <c r="AC27" s="115">
        <f t="shared" si="18"/>
        <v>0.8931968634</v>
      </c>
      <c r="AD27" s="116"/>
      <c r="AE27" s="116"/>
      <c r="AF27" s="117"/>
      <c r="AG27" s="118" t="s">
        <v>65</v>
      </c>
      <c r="AH27" s="119">
        <v>567.0</v>
      </c>
      <c r="AI27" s="119">
        <v>889.0</v>
      </c>
      <c r="AJ27" s="119">
        <v>4085.0</v>
      </c>
      <c r="AK27" s="120">
        <v>6.0</v>
      </c>
      <c r="AL27" s="119">
        <v>331.0</v>
      </c>
      <c r="AM27" s="119">
        <v>412.0</v>
      </c>
      <c r="AN27" s="119">
        <v>17.0</v>
      </c>
      <c r="AO27" s="121">
        <v>60891.0</v>
      </c>
      <c r="AP27" s="131">
        <v>17304.0</v>
      </c>
      <c r="AQ27" s="119">
        <v>1292.0</v>
      </c>
      <c r="AR27" s="119">
        <v>1449.0</v>
      </c>
      <c r="AS27" s="119">
        <v>18492.0</v>
      </c>
      <c r="AT27" s="119">
        <v>62.0</v>
      </c>
      <c r="AU27" s="119">
        <v>17.0</v>
      </c>
      <c r="AV27" s="119">
        <v>62.0</v>
      </c>
      <c r="AW27" s="120">
        <v>889.0</v>
      </c>
      <c r="AX27" s="120">
        <v>5973.0</v>
      </c>
      <c r="AY27" s="120">
        <v>47301.0</v>
      </c>
      <c r="AZ27" s="123">
        <v>0.12627640007610832</v>
      </c>
      <c r="BA27" s="123">
        <v>0.8737235999238917</v>
      </c>
      <c r="BB27" s="116"/>
      <c r="BC27" s="116"/>
      <c r="BD27" s="116"/>
      <c r="BE27" s="116"/>
      <c r="BF27" s="116"/>
      <c r="BG27" s="116"/>
      <c r="BH27" s="116"/>
      <c r="BI27" s="116"/>
    </row>
    <row r="28" ht="15.75" customHeight="1">
      <c r="A28" s="112"/>
      <c r="B28" s="38" t="s">
        <v>66</v>
      </c>
      <c r="C28" s="269">
        <v>38.0</v>
      </c>
      <c r="D28" s="269">
        <v>2100.0</v>
      </c>
      <c r="E28" s="269">
        <v>21.0</v>
      </c>
      <c r="F28" s="269">
        <v>6.0</v>
      </c>
      <c r="G28" s="269">
        <v>12.0</v>
      </c>
      <c r="H28" s="269">
        <v>31.0</v>
      </c>
      <c r="I28" s="269">
        <v>19.0</v>
      </c>
      <c r="J28" s="269">
        <v>9.0</v>
      </c>
      <c r="K28" s="269">
        <v>0.0</v>
      </c>
      <c r="L28" s="269">
        <v>45896.0</v>
      </c>
      <c r="M28" s="270">
        <v>25509.0</v>
      </c>
      <c r="N28" s="269">
        <v>182.0</v>
      </c>
      <c r="O28" s="269">
        <v>380.0</v>
      </c>
      <c r="P28" s="269">
        <v>2165.0</v>
      </c>
      <c r="Q28" s="270"/>
      <c r="R28" s="269">
        <v>0.0</v>
      </c>
      <c r="S28" s="270"/>
      <c r="T28" s="130">
        <f t="shared" si="5"/>
        <v>2177</v>
      </c>
      <c r="U28" s="130">
        <f t="shared" si="6"/>
        <v>59</v>
      </c>
      <c r="V28" s="130">
        <f t="shared" si="7"/>
        <v>71405</v>
      </c>
      <c r="W28" s="130">
        <f t="shared" si="8"/>
        <v>2727</v>
      </c>
      <c r="X28" s="116">
        <f t="shared" si="9"/>
        <v>0.03255773319</v>
      </c>
      <c r="Y28" s="116">
        <f t="shared" si="10"/>
        <v>0.9674422668</v>
      </c>
      <c r="Z28" s="114">
        <f t="shared" si="15"/>
        <v>2236</v>
      </c>
      <c r="AA28" s="114">
        <f t="shared" si="16"/>
        <v>68678</v>
      </c>
      <c r="AB28" s="115">
        <f t="shared" si="17"/>
        <v>0.03255773319</v>
      </c>
      <c r="AC28" s="115">
        <f t="shared" si="18"/>
        <v>0.9674422668</v>
      </c>
      <c r="AD28" s="116"/>
      <c r="AE28" s="116"/>
      <c r="AF28" s="117"/>
      <c r="AG28" s="118" t="s">
        <v>66</v>
      </c>
      <c r="AH28" s="119">
        <v>85.0</v>
      </c>
      <c r="AI28" s="119">
        <v>231.0</v>
      </c>
      <c r="AJ28" s="119">
        <v>1566.0</v>
      </c>
      <c r="AK28" s="120">
        <v>0.0</v>
      </c>
      <c r="AL28" s="119">
        <v>3.0</v>
      </c>
      <c r="AM28" s="119">
        <v>12.0</v>
      </c>
      <c r="AN28" s="119">
        <v>11.0</v>
      </c>
      <c r="AO28" s="121">
        <v>52006.0</v>
      </c>
      <c r="AP28" s="131">
        <v>26176.0</v>
      </c>
      <c r="AQ28" s="119">
        <v>60.0</v>
      </c>
      <c r="AR28" s="119">
        <v>160.0</v>
      </c>
      <c r="AS28" s="119">
        <v>1140.0</v>
      </c>
      <c r="AT28" s="119">
        <v>5.0</v>
      </c>
      <c r="AU28" s="119">
        <v>9.0</v>
      </c>
      <c r="AV28" s="119">
        <v>5.0</v>
      </c>
      <c r="AW28" s="120">
        <v>231.0</v>
      </c>
      <c r="AX28" s="120">
        <v>1474.0</v>
      </c>
      <c r="AY28" s="120">
        <v>48777.0</v>
      </c>
      <c r="AZ28" s="123">
        <v>0.030219160669987904</v>
      </c>
      <c r="BA28" s="123">
        <v>0.9697808393300121</v>
      </c>
      <c r="BB28" s="116"/>
      <c r="BC28" s="116"/>
      <c r="BD28" s="116"/>
      <c r="BE28" s="116"/>
      <c r="BF28" s="116"/>
      <c r="BG28" s="116"/>
      <c r="BH28" s="116"/>
      <c r="BI28" s="116"/>
    </row>
    <row r="29" ht="15.75" customHeight="1">
      <c r="A29" s="112"/>
      <c r="B29" s="38" t="s">
        <v>67</v>
      </c>
      <c r="C29" s="269">
        <v>114.0</v>
      </c>
      <c r="D29" s="269">
        <v>4148.0</v>
      </c>
      <c r="E29" s="269">
        <v>1.0</v>
      </c>
      <c r="F29" s="269"/>
      <c r="G29" s="269"/>
      <c r="H29" s="269"/>
      <c r="I29" s="269">
        <v>0.0</v>
      </c>
      <c r="J29" s="269">
        <v>0.0</v>
      </c>
      <c r="K29" s="269">
        <v>0.0</v>
      </c>
      <c r="L29" s="269">
        <v>52030.0</v>
      </c>
      <c r="M29" s="270">
        <v>22900.0</v>
      </c>
      <c r="N29" s="269">
        <v>332.0</v>
      </c>
      <c r="O29" s="269">
        <v>84.0</v>
      </c>
      <c r="P29" s="269">
        <v>29357.0</v>
      </c>
      <c r="Q29" s="270"/>
      <c r="R29" s="269">
        <v>4.0</v>
      </c>
      <c r="S29" s="270"/>
      <c r="T29" s="130">
        <f t="shared" si="5"/>
        <v>4263</v>
      </c>
      <c r="U29" s="130">
        <f t="shared" si="6"/>
        <v>0</v>
      </c>
      <c r="V29" s="130">
        <f t="shared" si="7"/>
        <v>74930</v>
      </c>
      <c r="W29" s="130">
        <f t="shared" si="8"/>
        <v>29777</v>
      </c>
      <c r="X29" s="116">
        <f t="shared" si="9"/>
        <v>0.09441233141</v>
      </c>
      <c r="Y29" s="116">
        <f t="shared" si="10"/>
        <v>0.9055876686</v>
      </c>
      <c r="Z29" s="114">
        <f t="shared" si="15"/>
        <v>4263</v>
      </c>
      <c r="AA29" s="114">
        <f t="shared" si="16"/>
        <v>45153</v>
      </c>
      <c r="AB29" s="115">
        <f t="shared" si="17"/>
        <v>0.09441233141</v>
      </c>
      <c r="AC29" s="115">
        <f t="shared" si="18"/>
        <v>0.9055876686</v>
      </c>
      <c r="AD29" s="116"/>
      <c r="AE29" s="116"/>
      <c r="AF29" s="117"/>
      <c r="AG29" s="118" t="s">
        <v>67</v>
      </c>
      <c r="AH29" s="119">
        <v>194.0</v>
      </c>
      <c r="AI29" s="119">
        <v>447.0</v>
      </c>
      <c r="AJ29" s="119">
        <v>540.0</v>
      </c>
      <c r="AK29" s="120">
        <v>7.0</v>
      </c>
      <c r="AL29" s="119">
        <v>545.0</v>
      </c>
      <c r="AM29" s="119">
        <v>32.0</v>
      </c>
      <c r="AN29" s="119">
        <v>0.0</v>
      </c>
      <c r="AO29" s="121">
        <v>59282.0</v>
      </c>
      <c r="AP29" s="131">
        <v>37235.0</v>
      </c>
      <c r="AQ29" s="119">
        <v>178.0</v>
      </c>
      <c r="AR29" s="119">
        <v>1149.0</v>
      </c>
      <c r="AS29" s="119">
        <v>4139.0</v>
      </c>
      <c r="AT29" s="119">
        <v>54.0</v>
      </c>
      <c r="AU29" s="119">
        <v>0.0</v>
      </c>
      <c r="AV29" s="119">
        <v>54.0</v>
      </c>
      <c r="AW29" s="120">
        <v>447.0</v>
      </c>
      <c r="AX29" s="120">
        <v>2703.0</v>
      </c>
      <c r="AY29" s="120">
        <v>77085.0</v>
      </c>
      <c r="AZ29" s="123">
        <v>0.03506518777972368</v>
      </c>
      <c r="BA29" s="123">
        <v>0.9649348122202763</v>
      </c>
      <c r="BB29" s="116"/>
      <c r="BC29" s="116"/>
      <c r="BD29" s="116"/>
      <c r="BE29" s="116"/>
      <c r="BF29" s="116"/>
      <c r="BG29" s="116"/>
      <c r="BH29" s="116"/>
      <c r="BI29" s="116"/>
    </row>
    <row r="30" ht="15.75" customHeight="1">
      <c r="A30" s="112"/>
      <c r="B30" s="38" t="s">
        <v>68</v>
      </c>
      <c r="C30" s="269">
        <v>0.0</v>
      </c>
      <c r="D30" s="269">
        <v>3817.0</v>
      </c>
      <c r="E30" s="269">
        <v>0.0</v>
      </c>
      <c r="F30" s="269">
        <v>261.0</v>
      </c>
      <c r="G30" s="269">
        <v>0.0</v>
      </c>
      <c r="H30" s="269">
        <v>681.0</v>
      </c>
      <c r="I30" s="269">
        <v>37.0</v>
      </c>
      <c r="J30" s="269">
        <v>12.0</v>
      </c>
      <c r="K30" s="269">
        <v>0.0</v>
      </c>
      <c r="L30" s="269">
        <v>21538.0</v>
      </c>
      <c r="M30" s="270">
        <v>34208.0</v>
      </c>
      <c r="N30" s="269">
        <v>48.0</v>
      </c>
      <c r="O30" s="269">
        <v>445.0</v>
      </c>
      <c r="P30" s="269">
        <v>2547.0</v>
      </c>
      <c r="Q30" s="270"/>
      <c r="R30" s="269">
        <v>0.0</v>
      </c>
      <c r="S30" s="270"/>
      <c r="T30" s="130">
        <f t="shared" si="5"/>
        <v>4078</v>
      </c>
      <c r="U30" s="130">
        <f t="shared" si="6"/>
        <v>730</v>
      </c>
      <c r="V30" s="130">
        <f t="shared" si="7"/>
        <v>55746</v>
      </c>
      <c r="W30" s="130">
        <f t="shared" si="8"/>
        <v>3040</v>
      </c>
      <c r="X30" s="116">
        <f t="shared" si="9"/>
        <v>0.09122301066</v>
      </c>
      <c r="Y30" s="116">
        <f t="shared" si="10"/>
        <v>0.9087769893</v>
      </c>
      <c r="Z30" s="114">
        <f t="shared" si="15"/>
        <v>4808</v>
      </c>
      <c r="AA30" s="114">
        <f t="shared" si="16"/>
        <v>52706</v>
      </c>
      <c r="AB30" s="115">
        <f t="shared" si="17"/>
        <v>0.09122301066</v>
      </c>
      <c r="AC30" s="115">
        <f t="shared" si="18"/>
        <v>0.9087769893</v>
      </c>
      <c r="AD30" s="116"/>
      <c r="AE30" s="116"/>
      <c r="AF30" s="117"/>
      <c r="AG30" s="118" t="s">
        <v>68</v>
      </c>
      <c r="AH30" s="119">
        <v>1.0</v>
      </c>
      <c r="AI30" s="119">
        <v>0.0</v>
      </c>
      <c r="AJ30" s="119">
        <v>2866.0</v>
      </c>
      <c r="AK30" s="120">
        <v>40.0</v>
      </c>
      <c r="AL30" s="119">
        <v>63.0</v>
      </c>
      <c r="AM30" s="119">
        <v>39.0</v>
      </c>
      <c r="AN30" s="119">
        <v>1.0</v>
      </c>
      <c r="AO30" s="121">
        <v>29224.0</v>
      </c>
      <c r="AP30" s="131">
        <v>16057.0</v>
      </c>
      <c r="AQ30" s="119">
        <v>13.0</v>
      </c>
      <c r="AR30" s="119">
        <v>292.0</v>
      </c>
      <c r="AS30" s="119">
        <v>4600.0</v>
      </c>
      <c r="AT30" s="119">
        <v>99.0</v>
      </c>
      <c r="AU30" s="119">
        <v>0.0</v>
      </c>
      <c r="AV30" s="119">
        <v>99.0</v>
      </c>
      <c r="AW30" s="120">
        <v>0.0</v>
      </c>
      <c r="AX30" s="120">
        <v>5205.0</v>
      </c>
      <c r="AY30" s="120">
        <v>105582.0</v>
      </c>
      <c r="AZ30" s="123">
        <v>0.04929817582542479</v>
      </c>
      <c r="BA30" s="123">
        <v>0.9507018241745752</v>
      </c>
      <c r="BB30" s="116"/>
      <c r="BC30" s="116"/>
      <c r="BD30" s="116"/>
      <c r="BE30" s="116"/>
      <c r="BF30" s="116"/>
      <c r="BG30" s="116"/>
      <c r="BH30" s="116"/>
      <c r="BI30" s="116"/>
    </row>
    <row r="31" ht="15.75" customHeight="1">
      <c r="A31" s="179"/>
      <c r="B31" s="204" t="s">
        <v>69</v>
      </c>
      <c r="C31" s="271">
        <v>1.0</v>
      </c>
      <c r="D31" s="271">
        <v>3906.0</v>
      </c>
      <c r="E31" s="271"/>
      <c r="F31" s="271">
        <v>304.0</v>
      </c>
      <c r="G31" s="271">
        <v>57.0</v>
      </c>
      <c r="H31" s="271">
        <v>2447.0</v>
      </c>
      <c r="I31" s="271">
        <v>18.0</v>
      </c>
      <c r="J31" s="271">
        <v>2.0</v>
      </c>
      <c r="K31" s="271">
        <v>0.0</v>
      </c>
      <c r="L31" s="271">
        <v>21859.0</v>
      </c>
      <c r="M31" s="272"/>
      <c r="N31" s="271">
        <v>2.0</v>
      </c>
      <c r="O31" s="271">
        <v>3.0</v>
      </c>
      <c r="P31" s="271">
        <v>1538.0</v>
      </c>
      <c r="Q31" s="272"/>
      <c r="R31" s="271"/>
      <c r="S31" s="272"/>
      <c r="T31" s="130">
        <f t="shared" si="5"/>
        <v>4268</v>
      </c>
      <c r="U31" s="130">
        <f t="shared" si="6"/>
        <v>2467</v>
      </c>
      <c r="V31" s="130">
        <f t="shared" si="7"/>
        <v>21859</v>
      </c>
      <c r="W31" s="130">
        <f t="shared" si="8"/>
        <v>1543</v>
      </c>
      <c r="X31" s="116">
        <f t="shared" si="9"/>
        <v>0.3315121087</v>
      </c>
      <c r="Y31" s="116">
        <f t="shared" si="10"/>
        <v>0.6684878913</v>
      </c>
      <c r="Z31" s="133"/>
      <c r="AA31" s="133"/>
      <c r="AB31" s="134"/>
      <c r="AC31" s="134"/>
      <c r="AD31" s="116"/>
      <c r="AE31" s="116"/>
      <c r="AF31" s="117"/>
      <c r="AG31" s="118" t="s">
        <v>69</v>
      </c>
      <c r="AH31" s="119">
        <v>0.0</v>
      </c>
      <c r="AI31" s="119">
        <v>0.0</v>
      </c>
      <c r="AJ31" s="119">
        <v>3889.0</v>
      </c>
      <c r="AK31" s="120">
        <v>317.0</v>
      </c>
      <c r="AL31" s="119">
        <v>31.0</v>
      </c>
      <c r="AM31" s="119">
        <v>1037.0</v>
      </c>
      <c r="AN31" s="119">
        <v>18.0</v>
      </c>
      <c r="AO31" s="121">
        <v>37098.0</v>
      </c>
      <c r="AP31" s="131">
        <v>23866.0</v>
      </c>
      <c r="AQ31" s="119">
        <v>0.0</v>
      </c>
      <c r="AR31" s="119">
        <v>39.0</v>
      </c>
      <c r="AS31" s="119">
        <v>522.0</v>
      </c>
      <c r="AT31" s="119">
        <v>59.0</v>
      </c>
      <c r="AU31" s="119">
        <v>243.0</v>
      </c>
      <c r="AV31" s="119">
        <v>59.0</v>
      </c>
      <c r="AW31" s="120">
        <v>0.0</v>
      </c>
      <c r="AX31" s="120">
        <v>2144.0</v>
      </c>
      <c r="AY31" s="120">
        <v>34252.0</v>
      </c>
      <c r="AZ31" s="123">
        <v>0.06259488497022071</v>
      </c>
      <c r="BA31" s="123">
        <v>0.9374051150297793</v>
      </c>
      <c r="BB31" s="116"/>
      <c r="BC31" s="116"/>
      <c r="BD31" s="116"/>
      <c r="BE31" s="116"/>
      <c r="BF31" s="116"/>
      <c r="BG31" s="116"/>
      <c r="BH31" s="116"/>
      <c r="BI31" s="116"/>
    </row>
    <row r="32" ht="15.75" customHeight="1">
      <c r="A32" s="179"/>
      <c r="B32" s="38" t="s">
        <v>70</v>
      </c>
      <c r="C32" s="269">
        <v>2.0</v>
      </c>
      <c r="D32" s="269">
        <v>2823.0</v>
      </c>
      <c r="E32" s="269"/>
      <c r="F32" s="269">
        <v>233.0</v>
      </c>
      <c r="G32" s="269">
        <v>163.0</v>
      </c>
      <c r="H32" s="269">
        <v>0.0</v>
      </c>
      <c r="I32" s="269">
        <v>34.0</v>
      </c>
      <c r="J32" s="269">
        <v>20.0</v>
      </c>
      <c r="K32" s="269">
        <v>2.0</v>
      </c>
      <c r="L32" s="269">
        <v>51198.0</v>
      </c>
      <c r="M32" s="270">
        <v>33761.0</v>
      </c>
      <c r="N32" s="269">
        <v>947.0</v>
      </c>
      <c r="O32" s="269">
        <v>81.0</v>
      </c>
      <c r="P32" s="269">
        <v>2490.0</v>
      </c>
      <c r="Q32" s="270"/>
      <c r="R32" s="269"/>
      <c r="S32" s="270"/>
      <c r="T32" s="130">
        <f t="shared" si="5"/>
        <v>3221</v>
      </c>
      <c r="U32" s="130">
        <f t="shared" si="6"/>
        <v>56</v>
      </c>
      <c r="V32" s="130">
        <f t="shared" si="7"/>
        <v>84959</v>
      </c>
      <c r="W32" s="130">
        <f t="shared" si="8"/>
        <v>3518</v>
      </c>
      <c r="X32" s="116">
        <f t="shared" si="9"/>
        <v>0.0402377181</v>
      </c>
      <c r="Y32" s="116">
        <f t="shared" si="10"/>
        <v>0.9597622819</v>
      </c>
      <c r="Z32" s="114">
        <f t="shared" ref="Z32:Z37" si="19">SUM(C32:K32)</f>
        <v>3277</v>
      </c>
      <c r="AA32" s="114">
        <f t="shared" ref="AA32:AA37" si="20">((L32+M32)-(SUM(N32:S32)))</f>
        <v>81441</v>
      </c>
      <c r="AB32" s="115">
        <f t="shared" ref="AB32:AB38" si="21">Z32/AA32</f>
        <v>0.0402377181</v>
      </c>
      <c r="AC32" s="115">
        <f t="shared" ref="AC32:AC38" si="22">100%-AB32</f>
        <v>0.9597622819</v>
      </c>
      <c r="AD32" s="116"/>
      <c r="AE32" s="116"/>
      <c r="AF32" s="117"/>
      <c r="AG32" s="118" t="s">
        <v>70</v>
      </c>
      <c r="AH32" s="119">
        <v>0.0</v>
      </c>
      <c r="AI32" s="119">
        <v>6.0</v>
      </c>
      <c r="AJ32" s="119">
        <v>1392.0</v>
      </c>
      <c r="AK32" s="120">
        <v>13.0</v>
      </c>
      <c r="AL32" s="119">
        <v>268.0</v>
      </c>
      <c r="AM32" s="119">
        <v>117.0</v>
      </c>
      <c r="AN32" s="119">
        <v>38.0</v>
      </c>
      <c r="AO32" s="121">
        <v>40789.0</v>
      </c>
      <c r="AP32" s="131">
        <v>26221.0</v>
      </c>
      <c r="AQ32" s="119">
        <v>2645.0</v>
      </c>
      <c r="AR32" s="119">
        <v>201.0</v>
      </c>
      <c r="AS32" s="119">
        <v>173.0</v>
      </c>
      <c r="AT32" s="119">
        <v>3.0</v>
      </c>
      <c r="AU32" s="119">
        <v>4.0</v>
      </c>
      <c r="AV32" s="119">
        <v>3.0</v>
      </c>
      <c r="AW32" s="120">
        <v>6.0</v>
      </c>
      <c r="AX32" s="120">
        <v>6745.0</v>
      </c>
      <c r="AY32" s="120">
        <v>118952.0</v>
      </c>
      <c r="AZ32" s="123">
        <v>0.056703544286771136</v>
      </c>
      <c r="BA32" s="123">
        <v>0.9432964557132288</v>
      </c>
      <c r="BB32" s="116"/>
      <c r="BC32" s="116"/>
      <c r="BD32" s="116"/>
      <c r="BE32" s="116"/>
      <c r="BF32" s="116"/>
      <c r="BG32" s="116"/>
      <c r="BH32" s="116"/>
      <c r="BI32" s="116"/>
    </row>
    <row r="33" ht="15.75" customHeight="1">
      <c r="A33" s="260"/>
      <c r="B33" s="204" t="s">
        <v>71</v>
      </c>
      <c r="C33" s="271"/>
      <c r="D33" s="271">
        <v>2800.0</v>
      </c>
      <c r="E33" s="271"/>
      <c r="F33" s="271">
        <v>63.0</v>
      </c>
      <c r="G33" s="271">
        <v>75.0</v>
      </c>
      <c r="H33" s="271">
        <v>159.0</v>
      </c>
      <c r="I33" s="271">
        <v>219.0</v>
      </c>
      <c r="J33" s="271">
        <v>87.0</v>
      </c>
      <c r="K33" s="271">
        <v>0.0</v>
      </c>
      <c r="L33" s="271">
        <v>41857.0</v>
      </c>
      <c r="M33" s="272"/>
      <c r="N33" s="271">
        <v>328.0</v>
      </c>
      <c r="O33" s="271">
        <v>1133.0</v>
      </c>
      <c r="P33" s="271">
        <v>255.0</v>
      </c>
      <c r="Q33" s="272"/>
      <c r="R33" s="271"/>
      <c r="S33" s="272"/>
      <c r="T33" s="130">
        <f t="shared" si="5"/>
        <v>2938</v>
      </c>
      <c r="U33" s="130">
        <f t="shared" si="6"/>
        <v>465</v>
      </c>
      <c r="V33" s="130">
        <f t="shared" si="7"/>
        <v>41857</v>
      </c>
      <c r="W33" s="130">
        <f t="shared" si="8"/>
        <v>1716</v>
      </c>
      <c r="X33" s="116">
        <f t="shared" si="9"/>
        <v>0.08477616402</v>
      </c>
      <c r="Y33" s="116">
        <f t="shared" si="10"/>
        <v>0.915223836</v>
      </c>
      <c r="Z33" s="114">
        <f t="shared" si="19"/>
        <v>3403</v>
      </c>
      <c r="AA33" s="114">
        <f t="shared" si="20"/>
        <v>40141</v>
      </c>
      <c r="AB33" s="115">
        <f t="shared" si="21"/>
        <v>0.08477616402</v>
      </c>
      <c r="AC33" s="115">
        <f t="shared" si="22"/>
        <v>0.915223836</v>
      </c>
      <c r="AD33" s="116"/>
      <c r="AE33" s="116"/>
      <c r="AF33" s="117"/>
      <c r="AG33" s="118" t="s">
        <v>71</v>
      </c>
      <c r="AH33" s="119">
        <v>0.0</v>
      </c>
      <c r="AI33" s="119">
        <v>0.0</v>
      </c>
      <c r="AJ33" s="119">
        <v>1080.0</v>
      </c>
      <c r="AK33" s="120">
        <v>0.0</v>
      </c>
      <c r="AL33" s="119">
        <v>0.0</v>
      </c>
      <c r="AM33" s="119">
        <v>186.0</v>
      </c>
      <c r="AN33" s="119">
        <v>314.0</v>
      </c>
      <c r="AO33" s="121">
        <v>41629.0</v>
      </c>
      <c r="AP33" s="131">
        <v>29470.0</v>
      </c>
      <c r="AQ33" s="119">
        <v>71.0</v>
      </c>
      <c r="AR33" s="119">
        <v>752.0</v>
      </c>
      <c r="AS33" s="119">
        <v>280.0</v>
      </c>
      <c r="AT33" s="119">
        <v>0.0</v>
      </c>
      <c r="AU33" s="119">
        <v>0.0</v>
      </c>
      <c r="AV33" s="119">
        <v>0.0</v>
      </c>
      <c r="AW33" s="120">
        <v>0.0</v>
      </c>
      <c r="AX33" s="120">
        <v>6070.0</v>
      </c>
      <c r="AY33" s="120">
        <v>67671.0</v>
      </c>
      <c r="AZ33" s="123">
        <v>0.08969868924650146</v>
      </c>
      <c r="BA33" s="123">
        <v>0.9103013107534985</v>
      </c>
      <c r="BB33" s="116"/>
      <c r="BC33" s="116"/>
      <c r="BD33" s="116"/>
      <c r="BE33" s="116"/>
      <c r="BF33" s="116"/>
      <c r="BG33" s="116"/>
      <c r="BH33" s="116"/>
      <c r="BI33" s="116"/>
    </row>
    <row r="34" ht="15.75" customHeight="1">
      <c r="A34" s="281"/>
      <c r="B34" s="38" t="s">
        <v>72</v>
      </c>
      <c r="C34" s="269">
        <v>9.0</v>
      </c>
      <c r="D34" s="269">
        <v>872.0</v>
      </c>
      <c r="E34" s="269">
        <v>9.0</v>
      </c>
      <c r="F34" s="269">
        <v>211.0</v>
      </c>
      <c r="G34" s="269">
        <v>6.0</v>
      </c>
      <c r="H34" s="269">
        <v>3.0</v>
      </c>
      <c r="I34" s="269">
        <v>0.0</v>
      </c>
      <c r="J34" s="269">
        <v>1.0</v>
      </c>
      <c r="K34" s="269">
        <v>0.0</v>
      </c>
      <c r="L34" s="269">
        <v>4299.0</v>
      </c>
      <c r="M34" s="282">
        <v>8749.0</v>
      </c>
      <c r="N34" s="269">
        <v>105.0</v>
      </c>
      <c r="O34" s="269">
        <v>112.0</v>
      </c>
      <c r="P34" s="269">
        <v>181.0</v>
      </c>
      <c r="Q34" s="270"/>
      <c r="R34" s="269">
        <v>0.0</v>
      </c>
      <c r="S34" s="270"/>
      <c r="T34" s="130">
        <f t="shared" si="5"/>
        <v>1107</v>
      </c>
      <c r="U34" s="130">
        <f t="shared" si="6"/>
        <v>4</v>
      </c>
      <c r="V34" s="130">
        <f t="shared" si="7"/>
        <v>13048</v>
      </c>
      <c r="W34" s="130">
        <f t="shared" si="8"/>
        <v>398</v>
      </c>
      <c r="X34" s="116">
        <f t="shared" si="9"/>
        <v>0.08782608696</v>
      </c>
      <c r="Y34" s="116">
        <f t="shared" si="10"/>
        <v>0.912173913</v>
      </c>
      <c r="Z34" s="114">
        <f t="shared" si="19"/>
        <v>1111</v>
      </c>
      <c r="AA34" s="114">
        <f t="shared" si="20"/>
        <v>12650</v>
      </c>
      <c r="AB34" s="115">
        <f t="shared" si="21"/>
        <v>0.08782608696</v>
      </c>
      <c r="AC34" s="115">
        <f t="shared" si="22"/>
        <v>0.912173913</v>
      </c>
      <c r="AD34" s="116"/>
      <c r="AE34" s="116"/>
      <c r="AF34" s="117"/>
      <c r="AG34" s="118" t="s">
        <v>72</v>
      </c>
      <c r="AH34" s="119">
        <v>0.0</v>
      </c>
      <c r="AI34" s="119">
        <v>0.0</v>
      </c>
      <c r="AJ34" s="119">
        <v>6.0</v>
      </c>
      <c r="AK34" s="120">
        <v>0.0</v>
      </c>
      <c r="AL34" s="119">
        <v>15.0</v>
      </c>
      <c r="AM34" s="119">
        <v>8.0</v>
      </c>
      <c r="AN34" s="119">
        <v>3.0</v>
      </c>
      <c r="AO34" s="121">
        <v>3882.0</v>
      </c>
      <c r="AP34" s="131">
        <v>3706.0</v>
      </c>
      <c r="AQ34" s="119">
        <v>7.0</v>
      </c>
      <c r="AR34" s="119">
        <v>72.0</v>
      </c>
      <c r="AS34" s="119">
        <v>0.0</v>
      </c>
      <c r="AT34" s="119">
        <v>23.0</v>
      </c>
      <c r="AU34" s="119">
        <v>16.0</v>
      </c>
      <c r="AV34" s="119">
        <v>23.0</v>
      </c>
      <c r="AW34" s="120">
        <v>0.0</v>
      </c>
      <c r="AX34" s="120">
        <v>59.0</v>
      </c>
      <c r="AY34" s="120">
        <v>8028.0</v>
      </c>
      <c r="AZ34" s="123">
        <v>0.007349277528649726</v>
      </c>
      <c r="BA34" s="123">
        <v>0.9926507224713502</v>
      </c>
      <c r="BB34" s="116"/>
      <c r="BC34" s="116"/>
      <c r="BD34" s="116"/>
      <c r="BE34" s="116"/>
      <c r="BF34" s="116"/>
      <c r="BG34" s="116"/>
      <c r="BH34" s="116"/>
      <c r="BI34" s="116"/>
    </row>
    <row r="35" ht="15.75" customHeight="1">
      <c r="A35" s="260"/>
      <c r="B35" s="204" t="s">
        <v>73</v>
      </c>
      <c r="C35" s="271">
        <v>49.0</v>
      </c>
      <c r="D35" s="271">
        <v>7187.0</v>
      </c>
      <c r="E35" s="271"/>
      <c r="F35" s="271">
        <v>222.0</v>
      </c>
      <c r="G35" s="271">
        <v>64.0</v>
      </c>
      <c r="H35" s="271">
        <v>62.0</v>
      </c>
      <c r="I35" s="271">
        <v>40.0</v>
      </c>
      <c r="J35" s="271">
        <v>19.0</v>
      </c>
      <c r="K35" s="271">
        <v>0.0</v>
      </c>
      <c r="L35" s="271">
        <v>100708.0</v>
      </c>
      <c r="M35" s="272"/>
      <c r="N35" s="271">
        <v>210.0</v>
      </c>
      <c r="O35" s="271">
        <v>4954.0</v>
      </c>
      <c r="P35" s="271">
        <v>4664.0</v>
      </c>
      <c r="Q35" s="272"/>
      <c r="R35" s="271"/>
      <c r="S35" s="272"/>
      <c r="T35" s="130">
        <f t="shared" si="5"/>
        <v>7522</v>
      </c>
      <c r="U35" s="130">
        <f t="shared" si="6"/>
        <v>121</v>
      </c>
      <c r="V35" s="130">
        <f t="shared" si="7"/>
        <v>100708</v>
      </c>
      <c r="W35" s="130">
        <f t="shared" si="8"/>
        <v>9828</v>
      </c>
      <c r="X35" s="116">
        <f t="shared" si="9"/>
        <v>0.08409991197</v>
      </c>
      <c r="Y35" s="116">
        <f t="shared" si="10"/>
        <v>0.915900088</v>
      </c>
      <c r="Z35" s="114">
        <f t="shared" si="19"/>
        <v>7643</v>
      </c>
      <c r="AA35" s="114">
        <f t="shared" si="20"/>
        <v>90880</v>
      </c>
      <c r="AB35" s="115">
        <f t="shared" si="21"/>
        <v>0.08409991197</v>
      </c>
      <c r="AC35" s="115">
        <f t="shared" si="22"/>
        <v>0.915900088</v>
      </c>
      <c r="AD35" s="116"/>
      <c r="AE35" s="116"/>
      <c r="AF35" s="117"/>
      <c r="AG35" s="118" t="s">
        <v>73</v>
      </c>
      <c r="AH35" s="119">
        <v>51.0</v>
      </c>
      <c r="AI35" s="119">
        <v>514.0</v>
      </c>
      <c r="AJ35" s="119">
        <v>5789.0</v>
      </c>
      <c r="AK35" s="120">
        <v>304.0</v>
      </c>
      <c r="AL35" s="119">
        <v>48.0</v>
      </c>
      <c r="AM35" s="119">
        <v>49.0</v>
      </c>
      <c r="AN35" s="119">
        <v>95.0</v>
      </c>
      <c r="AO35" s="121">
        <v>83575.0</v>
      </c>
      <c r="AP35" s="131">
        <v>25752.0</v>
      </c>
      <c r="AQ35" s="119">
        <v>101.0</v>
      </c>
      <c r="AR35" s="119">
        <v>7807.0</v>
      </c>
      <c r="AS35" s="119">
        <v>6126.0</v>
      </c>
      <c r="AT35" s="119">
        <v>102.0</v>
      </c>
      <c r="AU35" s="119">
        <v>292.0</v>
      </c>
      <c r="AV35" s="119">
        <v>102.0</v>
      </c>
      <c r="AW35" s="120">
        <v>514.0</v>
      </c>
      <c r="AX35" s="120">
        <v>2012.0</v>
      </c>
      <c r="AY35" s="120">
        <v>103148.0</v>
      </c>
      <c r="AZ35" s="123">
        <v>0.01950595261178113</v>
      </c>
      <c r="BA35" s="123">
        <v>0.9804940473882189</v>
      </c>
      <c r="BB35" s="116"/>
      <c r="BC35" s="116"/>
      <c r="BD35" s="116"/>
      <c r="BE35" s="116"/>
      <c r="BF35" s="116"/>
      <c r="BG35" s="116"/>
      <c r="BH35" s="116"/>
      <c r="BI35" s="116"/>
    </row>
    <row r="36" ht="15.75" customHeight="1">
      <c r="A36" s="260"/>
      <c r="B36" s="38" t="s">
        <v>74</v>
      </c>
      <c r="C36" s="269">
        <v>13.0</v>
      </c>
      <c r="D36" s="269">
        <v>2672.0</v>
      </c>
      <c r="E36" s="269">
        <v>17.0</v>
      </c>
      <c r="F36" s="269">
        <v>226.0</v>
      </c>
      <c r="G36" s="269">
        <v>0.0</v>
      </c>
      <c r="H36" s="269">
        <v>329.0</v>
      </c>
      <c r="I36" s="269">
        <v>38.0</v>
      </c>
      <c r="J36" s="269">
        <v>20.0</v>
      </c>
      <c r="K36" s="269">
        <v>0.0</v>
      </c>
      <c r="L36" s="269">
        <v>16419.0</v>
      </c>
      <c r="M36" s="270">
        <v>11561.0</v>
      </c>
      <c r="N36" s="269">
        <v>385.0</v>
      </c>
      <c r="O36" s="269">
        <v>390.0</v>
      </c>
      <c r="P36" s="269">
        <v>192.0</v>
      </c>
      <c r="Q36" s="270"/>
      <c r="R36" s="269">
        <v>2.0</v>
      </c>
      <c r="S36" s="270"/>
      <c r="T36" s="130">
        <f t="shared" si="5"/>
        <v>2928</v>
      </c>
      <c r="U36" s="130">
        <f t="shared" si="6"/>
        <v>387</v>
      </c>
      <c r="V36" s="130">
        <f t="shared" si="7"/>
        <v>27980</v>
      </c>
      <c r="W36" s="130">
        <f t="shared" si="8"/>
        <v>969</v>
      </c>
      <c r="X36" s="116">
        <f t="shared" si="9"/>
        <v>0.1227277776</v>
      </c>
      <c r="Y36" s="116">
        <f t="shared" si="10"/>
        <v>0.8772722224</v>
      </c>
      <c r="Z36" s="114">
        <f t="shared" si="19"/>
        <v>3315</v>
      </c>
      <c r="AA36" s="114">
        <f t="shared" si="20"/>
        <v>27011</v>
      </c>
      <c r="AB36" s="115">
        <f t="shared" si="21"/>
        <v>0.1227277776</v>
      </c>
      <c r="AC36" s="115">
        <f t="shared" si="22"/>
        <v>0.8772722224</v>
      </c>
      <c r="AD36" s="116"/>
      <c r="AE36" s="116"/>
      <c r="AF36" s="117"/>
      <c r="AG36" s="118" t="s">
        <v>74</v>
      </c>
      <c r="AH36" s="119">
        <v>1.0</v>
      </c>
      <c r="AI36" s="119">
        <v>15.0</v>
      </c>
      <c r="AJ36" s="119">
        <v>849.0</v>
      </c>
      <c r="AK36" s="120">
        <v>0.0</v>
      </c>
      <c r="AL36" s="119">
        <v>85.0</v>
      </c>
      <c r="AM36" s="119">
        <v>270.0</v>
      </c>
      <c r="AN36" s="119">
        <v>118.0</v>
      </c>
      <c r="AO36" s="146">
        <v>4283.0</v>
      </c>
      <c r="AP36" s="131">
        <v>1969.0</v>
      </c>
      <c r="AQ36" s="119">
        <v>90.0</v>
      </c>
      <c r="AR36" s="119">
        <v>19.0</v>
      </c>
      <c r="AS36" s="119">
        <v>494.0</v>
      </c>
      <c r="AT36" s="119">
        <v>379.0</v>
      </c>
      <c r="AU36" s="119">
        <v>344.0</v>
      </c>
      <c r="AV36" s="119">
        <v>379.0</v>
      </c>
      <c r="AW36" s="120">
        <v>15.0</v>
      </c>
      <c r="AX36" s="135"/>
      <c r="AY36" s="135"/>
      <c r="AZ36" s="136"/>
      <c r="BA36" s="136"/>
      <c r="BB36" s="116"/>
      <c r="BC36" s="116"/>
      <c r="BD36" s="116"/>
      <c r="BE36" s="116"/>
      <c r="BF36" s="116"/>
      <c r="BG36" s="116"/>
      <c r="BH36" s="116"/>
      <c r="BI36" s="116"/>
    </row>
    <row r="37" ht="15.75" customHeight="1">
      <c r="A37" s="260"/>
      <c r="B37" s="38" t="s">
        <v>75</v>
      </c>
      <c r="C37" s="269">
        <v>11.0</v>
      </c>
      <c r="D37" s="269">
        <v>2549.0</v>
      </c>
      <c r="E37" s="269">
        <v>3.0</v>
      </c>
      <c r="F37" s="269">
        <v>512.0</v>
      </c>
      <c r="G37" s="269">
        <v>1250.0</v>
      </c>
      <c r="H37" s="269">
        <v>197.0</v>
      </c>
      <c r="I37" s="269">
        <v>222.0</v>
      </c>
      <c r="J37" s="269">
        <v>49.0</v>
      </c>
      <c r="K37" s="269">
        <v>3.0</v>
      </c>
      <c r="L37" s="269">
        <v>24023.0</v>
      </c>
      <c r="M37" s="270">
        <v>15596.0</v>
      </c>
      <c r="N37" s="269">
        <v>6968.0</v>
      </c>
      <c r="O37" s="269">
        <v>204.0</v>
      </c>
      <c r="P37" s="269">
        <v>0.0</v>
      </c>
      <c r="Q37" s="270"/>
      <c r="R37" s="269">
        <v>0.0</v>
      </c>
      <c r="S37" s="270"/>
      <c r="T37" s="130">
        <f t="shared" si="5"/>
        <v>4325</v>
      </c>
      <c r="U37" s="130">
        <f t="shared" si="6"/>
        <v>471</v>
      </c>
      <c r="V37" s="130">
        <f t="shared" si="7"/>
        <v>39619</v>
      </c>
      <c r="W37" s="130">
        <f t="shared" si="8"/>
        <v>7172</v>
      </c>
      <c r="X37" s="116">
        <f t="shared" si="9"/>
        <v>0.1478102752</v>
      </c>
      <c r="Y37" s="116">
        <f t="shared" si="10"/>
        <v>0.8521897248</v>
      </c>
      <c r="Z37" s="114">
        <f t="shared" si="19"/>
        <v>4796</v>
      </c>
      <c r="AA37" s="114">
        <f t="shared" si="20"/>
        <v>32447</v>
      </c>
      <c r="AB37" s="151">
        <f t="shared" si="21"/>
        <v>0.1478102752</v>
      </c>
      <c r="AC37" s="151">
        <f t="shared" si="22"/>
        <v>0.8521897248</v>
      </c>
      <c r="AD37" s="116"/>
      <c r="AE37" s="116"/>
      <c r="AF37" s="117"/>
      <c r="AG37" s="118" t="s">
        <v>75</v>
      </c>
      <c r="AH37" s="119">
        <v>4.0</v>
      </c>
      <c r="AI37" s="119">
        <v>12.0</v>
      </c>
      <c r="AJ37" s="119">
        <v>1863.0</v>
      </c>
      <c r="AK37" s="120">
        <v>37.0</v>
      </c>
      <c r="AL37" s="119">
        <v>26.0</v>
      </c>
      <c r="AM37" s="119">
        <v>38.0</v>
      </c>
      <c r="AN37" s="119">
        <v>13.0</v>
      </c>
      <c r="AO37" s="146">
        <v>26665.0</v>
      </c>
      <c r="AP37" s="131">
        <v>15825.0</v>
      </c>
      <c r="AQ37" s="119">
        <v>2601.0</v>
      </c>
      <c r="AR37" s="119">
        <v>129.0</v>
      </c>
      <c r="AS37" s="119">
        <v>0.0</v>
      </c>
      <c r="AT37" s="119">
        <v>40.0</v>
      </c>
      <c r="AU37" s="119">
        <v>70.0</v>
      </c>
      <c r="AV37" s="119">
        <v>40.0</v>
      </c>
      <c r="AW37" s="120">
        <v>12.0</v>
      </c>
      <c r="AX37" s="120">
        <v>1251.0</v>
      </c>
      <c r="AY37" s="120">
        <v>56705.0</v>
      </c>
      <c r="AZ37" s="123">
        <v>0.02206154660082885</v>
      </c>
      <c r="BA37" s="123">
        <v>0.9779384533991712</v>
      </c>
      <c r="BB37" s="116"/>
      <c r="BC37" s="116"/>
      <c r="BD37" s="116"/>
      <c r="BE37" s="116"/>
      <c r="BF37" s="116"/>
      <c r="BG37" s="116"/>
      <c r="BH37" s="116"/>
      <c r="BI37" s="116"/>
    </row>
    <row r="38" ht="33.75" customHeight="1">
      <c r="A38" s="152"/>
      <c r="B38" s="207" t="s">
        <v>38</v>
      </c>
      <c r="C38" s="283">
        <f t="shared" ref="C38:W38" si="23">SUM(C6:C37)</f>
        <v>44077</v>
      </c>
      <c r="D38" s="283">
        <f t="shared" si="23"/>
        <v>129184</v>
      </c>
      <c r="E38" s="283">
        <f t="shared" si="23"/>
        <v>2804</v>
      </c>
      <c r="F38" s="283">
        <f t="shared" si="23"/>
        <v>4746</v>
      </c>
      <c r="G38" s="283">
        <f t="shared" si="23"/>
        <v>11101</v>
      </c>
      <c r="H38" s="283">
        <f t="shared" si="23"/>
        <v>19597</v>
      </c>
      <c r="I38" s="283">
        <f t="shared" si="23"/>
        <v>7594</v>
      </c>
      <c r="J38" s="283">
        <f t="shared" si="23"/>
        <v>1417</v>
      </c>
      <c r="K38" s="283">
        <f t="shared" si="23"/>
        <v>81</v>
      </c>
      <c r="L38" s="283">
        <f t="shared" si="23"/>
        <v>2050743</v>
      </c>
      <c r="M38" s="283">
        <f t="shared" si="23"/>
        <v>1294442</v>
      </c>
      <c r="N38" s="283">
        <f t="shared" si="23"/>
        <v>50608</v>
      </c>
      <c r="O38" s="283">
        <f t="shared" si="23"/>
        <v>79621</v>
      </c>
      <c r="P38" s="283">
        <f t="shared" si="23"/>
        <v>289179</v>
      </c>
      <c r="Q38" s="283">
        <f t="shared" si="23"/>
        <v>0</v>
      </c>
      <c r="R38" s="283">
        <f t="shared" si="23"/>
        <v>9051</v>
      </c>
      <c r="S38" s="283">
        <f t="shared" si="23"/>
        <v>0</v>
      </c>
      <c r="T38" s="155">
        <f t="shared" si="23"/>
        <v>191912</v>
      </c>
      <c r="U38" s="155">
        <f t="shared" si="23"/>
        <v>28689</v>
      </c>
      <c r="V38" s="155">
        <f t="shared" si="23"/>
        <v>3345185</v>
      </c>
      <c r="W38" s="155">
        <f t="shared" si="23"/>
        <v>428459</v>
      </c>
      <c r="X38" s="156">
        <f t="shared" si="9"/>
        <v>0.07563308998</v>
      </c>
      <c r="Y38" s="156">
        <f t="shared" si="10"/>
        <v>0.92436691</v>
      </c>
      <c r="Z38" s="208">
        <f t="shared" ref="Z38:AA38" si="24">SUM(Z6:Z37)</f>
        <v>159626</v>
      </c>
      <c r="AA38" s="208">
        <f t="shared" si="24"/>
        <v>2791082</v>
      </c>
      <c r="AB38" s="210">
        <f t="shared" si="21"/>
        <v>0.05719144045</v>
      </c>
      <c r="AC38" s="211">
        <f t="shared" si="22"/>
        <v>0.9428085595</v>
      </c>
      <c r="AD38" s="158"/>
      <c r="AE38" s="158"/>
      <c r="AF38" s="159"/>
      <c r="AG38" s="160" t="s">
        <v>38</v>
      </c>
      <c r="AH38" s="154">
        <v>27858.0</v>
      </c>
      <c r="AI38" s="154">
        <v>19864.0</v>
      </c>
      <c r="AJ38" s="154">
        <v>86192.0</v>
      </c>
      <c r="AK38" s="154">
        <v>2167.0</v>
      </c>
      <c r="AL38" s="154">
        <v>8029.0</v>
      </c>
      <c r="AM38" s="154">
        <v>9161.0</v>
      </c>
      <c r="AN38" s="154">
        <v>2228.0</v>
      </c>
      <c r="AO38" s="161">
        <v>2139747.0</v>
      </c>
      <c r="AP38" s="154">
        <v>1176019.0</v>
      </c>
      <c r="AQ38" s="154">
        <v>29955.0</v>
      </c>
      <c r="AR38" s="154">
        <v>86911.0</v>
      </c>
      <c r="AS38" s="154">
        <v>202530.0</v>
      </c>
      <c r="AT38" s="154">
        <v>4449.0</v>
      </c>
      <c r="AU38" s="154">
        <v>4069.0</v>
      </c>
      <c r="AV38" s="154">
        <v>4449.0</v>
      </c>
      <c r="AW38" s="154">
        <v>19864.0</v>
      </c>
      <c r="AX38" s="135">
        <v>192716.0</v>
      </c>
      <c r="AY38" s="135">
        <v>4420325.0</v>
      </c>
      <c r="AZ38" s="136">
        <v>0.04359769926419437</v>
      </c>
      <c r="BA38" s="162">
        <v>0.9564023007358057</v>
      </c>
      <c r="BB38" s="158"/>
      <c r="BC38" s="158"/>
      <c r="BD38" s="158"/>
      <c r="BE38" s="158"/>
      <c r="BF38" s="158"/>
      <c r="BG38" s="158"/>
      <c r="BH38" s="158"/>
      <c r="BI38" s="158"/>
    </row>
    <row r="39" ht="15.75" customHeight="1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4"/>
      <c r="AU39" s="164"/>
      <c r="AV39" s="164"/>
      <c r="AW39" s="164"/>
      <c r="AX39" s="164"/>
      <c r="AY39" s="164"/>
      <c r="AZ39" s="164"/>
      <c r="BA39" s="164"/>
      <c r="BB39" s="164"/>
      <c r="BC39" s="164"/>
      <c r="BD39" s="164"/>
      <c r="BE39" s="164"/>
      <c r="BF39" s="164"/>
      <c r="BG39" s="164"/>
      <c r="BH39" s="164"/>
      <c r="BI39" s="164"/>
    </row>
    <row r="40" ht="15.75" customHeight="1">
      <c r="A40" s="163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BB40" s="164"/>
      <c r="BC40" s="164"/>
      <c r="BD40" s="164"/>
      <c r="BE40" s="164"/>
      <c r="BF40" s="164"/>
      <c r="BG40" s="164"/>
      <c r="BH40" s="164"/>
      <c r="BI40" s="164"/>
    </row>
    <row r="41" ht="15.75" customHeight="1">
      <c r="A41" s="163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  <c r="AO41" s="164"/>
      <c r="AP41" s="164"/>
      <c r="AQ41" s="164"/>
      <c r="AR41" s="164"/>
      <c r="AS41" s="164"/>
      <c r="AT41" s="164"/>
      <c r="AU41" s="164"/>
      <c r="AV41" s="164"/>
      <c r="AW41" s="164"/>
      <c r="AX41" s="164"/>
      <c r="AY41" s="164"/>
      <c r="AZ41" s="164"/>
      <c r="BA41" s="164"/>
      <c r="BB41" s="164"/>
      <c r="BC41" s="164"/>
      <c r="BD41" s="164"/>
      <c r="BE41" s="164"/>
      <c r="BF41" s="164"/>
      <c r="BG41" s="164"/>
      <c r="BH41" s="164"/>
      <c r="BI41" s="164"/>
    </row>
    <row r="42" ht="15.75" customHeight="1">
      <c r="A42" s="163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</row>
    <row r="43" ht="15.75" customHeight="1">
      <c r="A43" s="163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64"/>
      <c r="BH43" s="164"/>
      <c r="BI43" s="164"/>
    </row>
    <row r="44" ht="15.75" customHeight="1">
      <c r="A44" s="163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</row>
    <row r="45" ht="15.75" customHeight="1">
      <c r="A45" s="163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</row>
    <row r="46" ht="15.75" customHeight="1">
      <c r="A46" s="163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</row>
    <row r="47" ht="15.75" customHeight="1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</row>
    <row r="48" ht="15.75" customHeight="1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</row>
    <row r="49" ht="15.75" customHeight="1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</row>
    <row r="50" ht="15.75" customHeight="1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</row>
    <row r="51" ht="15.75" customHeight="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</row>
    <row r="52" ht="15.75" customHeight="1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</row>
    <row r="53" ht="15.75" customHeight="1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</row>
    <row r="54" ht="15.75" customHeight="1">
      <c r="A54" s="165"/>
      <c r="B54" s="165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</row>
    <row r="55" ht="15.75" customHeight="1">
      <c r="A55" s="164"/>
      <c r="B55" s="166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</row>
    <row r="56" ht="15.75" customHeight="1">
      <c r="A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</row>
    <row r="57" ht="15.75" customHeight="1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</row>
    <row r="58" ht="15.75" customHeight="1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</row>
    <row r="59" ht="15.75" customHeight="1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</row>
    <row r="60" ht="15.75" customHeight="1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</row>
    <row r="61" ht="15.75" customHeight="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</row>
    <row r="62" ht="15.75" customHeight="1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</row>
    <row r="63" ht="15.75" customHeight="1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</row>
    <row r="64" ht="15.75" customHeight="1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</row>
    <row r="65" ht="15.75" customHeight="1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</row>
    <row r="66" ht="15.75" customHeight="1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</row>
    <row r="67" ht="15.75" customHeight="1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</row>
    <row r="68" ht="15.75" customHeight="1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</row>
    <row r="69" ht="15.75" customHeight="1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</row>
    <row r="70" ht="15.75" customHeight="1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</row>
    <row r="71" ht="15.75" customHeight="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</row>
    <row r="72" ht="15.75" customHeight="1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</row>
    <row r="73" ht="15.75" customHeight="1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</row>
    <row r="74" ht="15.75" customHeight="1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</row>
    <row r="75" ht="15.75" customHeight="1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</row>
    <row r="76" ht="15.75" customHeight="1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</row>
    <row r="77" ht="15.75" customHeight="1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</row>
    <row r="78" ht="15.75" customHeight="1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</row>
    <row r="79" ht="15.75" customHeight="1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</row>
    <row r="80" ht="15.75" customHeight="1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</row>
    <row r="81" ht="15.75" customHeight="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</row>
    <row r="82" ht="15.75" customHeight="1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</row>
    <row r="83" ht="15.75" customHeight="1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  <c r="AO83" s="164"/>
      <c r="AP83" s="164"/>
      <c r="AQ83" s="164"/>
      <c r="AR83" s="164"/>
      <c r="AS83" s="164"/>
      <c r="AT83" s="164"/>
      <c r="AU83" s="164"/>
      <c r="AV83" s="164"/>
      <c r="AW83" s="164"/>
      <c r="AX83" s="164"/>
      <c r="AY83" s="164"/>
      <c r="AZ83" s="164"/>
      <c r="BA83" s="164"/>
      <c r="BB83" s="164"/>
      <c r="BC83" s="164"/>
      <c r="BD83" s="164"/>
      <c r="BE83" s="164"/>
      <c r="BF83" s="164"/>
      <c r="BG83" s="164"/>
      <c r="BH83" s="164"/>
      <c r="BI83" s="164"/>
    </row>
    <row r="84" ht="15.75" customHeight="1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  <c r="AO84" s="164"/>
      <c r="AP84" s="164"/>
      <c r="AQ84" s="164"/>
      <c r="AR84" s="164"/>
      <c r="AS84" s="164"/>
      <c r="AT84" s="164"/>
      <c r="AU84" s="164"/>
      <c r="AV84" s="164"/>
      <c r="AW84" s="164"/>
      <c r="AX84" s="164"/>
      <c r="AY84" s="164"/>
      <c r="AZ84" s="164"/>
      <c r="BA84" s="164"/>
      <c r="BB84" s="164"/>
      <c r="BC84" s="164"/>
      <c r="BD84" s="164"/>
      <c r="BE84" s="164"/>
      <c r="BF84" s="164"/>
      <c r="BG84" s="164"/>
      <c r="BH84" s="164"/>
      <c r="BI84" s="164"/>
    </row>
    <row r="85" ht="15.75" customHeight="1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  <c r="AO85" s="164"/>
      <c r="AP85" s="164"/>
      <c r="AQ85" s="164"/>
      <c r="AR85" s="164"/>
      <c r="AS85" s="164"/>
      <c r="AT85" s="164"/>
      <c r="AU85" s="164"/>
      <c r="AV85" s="164"/>
      <c r="AW85" s="164"/>
      <c r="AX85" s="164"/>
      <c r="AY85" s="164"/>
      <c r="AZ85" s="164"/>
      <c r="BA85" s="164"/>
      <c r="BB85" s="164"/>
      <c r="BC85" s="164"/>
      <c r="BD85" s="164"/>
      <c r="BE85" s="164"/>
      <c r="BF85" s="164"/>
      <c r="BG85" s="164"/>
      <c r="BH85" s="164"/>
      <c r="BI85" s="164"/>
    </row>
    <row r="86" ht="15.75" customHeight="1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64"/>
      <c r="AS86" s="164"/>
      <c r="AT86" s="16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64"/>
      <c r="BH86" s="164"/>
      <c r="BI86" s="164"/>
    </row>
    <row r="87" ht="15.75" customHeight="1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  <c r="AO87" s="164"/>
      <c r="AP87" s="164"/>
      <c r="AQ87" s="164"/>
      <c r="AR87" s="164"/>
      <c r="AS87" s="164"/>
      <c r="AT87" s="164"/>
      <c r="AU87" s="164"/>
      <c r="AV87" s="164"/>
      <c r="AW87" s="164"/>
      <c r="AX87" s="164"/>
      <c r="AY87" s="164"/>
      <c r="AZ87" s="164"/>
      <c r="BA87" s="164"/>
      <c r="BB87" s="164"/>
      <c r="BC87" s="164"/>
      <c r="BD87" s="164"/>
      <c r="BE87" s="164"/>
      <c r="BF87" s="164"/>
      <c r="BG87" s="164"/>
      <c r="BH87" s="164"/>
      <c r="BI87" s="164"/>
    </row>
    <row r="88" ht="15.75" customHeight="1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  <c r="AO88" s="164"/>
      <c r="AP88" s="164"/>
      <c r="AQ88" s="164"/>
      <c r="AR88" s="164"/>
      <c r="AS88" s="164"/>
      <c r="AT88" s="164"/>
      <c r="AU88" s="164"/>
      <c r="AV88" s="164"/>
      <c r="AW88" s="164"/>
      <c r="AX88" s="164"/>
      <c r="AY88" s="164"/>
      <c r="AZ88" s="164"/>
      <c r="BA88" s="164"/>
      <c r="BB88" s="164"/>
      <c r="BC88" s="164"/>
      <c r="BD88" s="164"/>
      <c r="BE88" s="164"/>
      <c r="BF88" s="164"/>
      <c r="BG88" s="164"/>
      <c r="BH88" s="164"/>
      <c r="BI88" s="164"/>
    </row>
    <row r="89" ht="15.75" customHeight="1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  <c r="AO89" s="164"/>
      <c r="AP89" s="164"/>
      <c r="AQ89" s="164"/>
      <c r="AR89" s="164"/>
      <c r="AS89" s="164"/>
      <c r="AT89" s="164"/>
      <c r="AU89" s="164"/>
      <c r="AV89" s="164"/>
      <c r="AW89" s="164"/>
      <c r="AX89" s="164"/>
      <c r="AY89" s="164"/>
      <c r="AZ89" s="164"/>
      <c r="BA89" s="164"/>
      <c r="BB89" s="164"/>
      <c r="BC89" s="164"/>
      <c r="BD89" s="164"/>
      <c r="BE89" s="164"/>
      <c r="BF89" s="164"/>
      <c r="BG89" s="164"/>
      <c r="BH89" s="164"/>
      <c r="BI89" s="164"/>
    </row>
    <row r="90" ht="15.75" customHeight="1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  <c r="AO90" s="164"/>
      <c r="AP90" s="164"/>
      <c r="AQ90" s="164"/>
      <c r="AR90" s="164"/>
      <c r="AS90" s="164"/>
      <c r="AT90" s="164"/>
      <c r="AU90" s="164"/>
      <c r="AV90" s="164"/>
      <c r="AW90" s="164"/>
      <c r="AX90" s="164"/>
      <c r="AY90" s="164"/>
      <c r="AZ90" s="164"/>
      <c r="BA90" s="164"/>
      <c r="BB90" s="164"/>
      <c r="BC90" s="164"/>
      <c r="BD90" s="164"/>
      <c r="BE90" s="164"/>
      <c r="BF90" s="164"/>
      <c r="BG90" s="164"/>
      <c r="BH90" s="164"/>
      <c r="BI90" s="164"/>
    </row>
    <row r="91" ht="15.75" customHeight="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  <c r="AO91" s="164"/>
      <c r="AP91" s="164"/>
      <c r="AQ91" s="164"/>
      <c r="AR91" s="164"/>
      <c r="AS91" s="164"/>
      <c r="AT91" s="164"/>
      <c r="AU91" s="164"/>
      <c r="AV91" s="164"/>
      <c r="AW91" s="164"/>
      <c r="AX91" s="164"/>
      <c r="AY91" s="164"/>
      <c r="AZ91" s="164"/>
      <c r="BA91" s="164"/>
      <c r="BB91" s="164"/>
      <c r="BC91" s="164"/>
      <c r="BD91" s="164"/>
      <c r="BE91" s="164"/>
      <c r="BF91" s="164"/>
      <c r="BG91" s="164"/>
      <c r="BH91" s="164"/>
      <c r="BI91" s="164"/>
    </row>
    <row r="92" ht="15.75" customHeight="1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  <c r="AO92" s="164"/>
      <c r="AP92" s="164"/>
      <c r="AQ92" s="164"/>
      <c r="AR92" s="164"/>
      <c r="AS92" s="164"/>
      <c r="AT92" s="164"/>
      <c r="AU92" s="164"/>
      <c r="AV92" s="164"/>
      <c r="AW92" s="164"/>
      <c r="AX92" s="164"/>
      <c r="AY92" s="164"/>
      <c r="AZ92" s="164"/>
      <c r="BA92" s="164"/>
      <c r="BB92" s="164"/>
      <c r="BC92" s="164"/>
      <c r="BD92" s="164"/>
      <c r="BE92" s="164"/>
      <c r="BF92" s="164"/>
      <c r="BG92" s="164"/>
      <c r="BH92" s="164"/>
      <c r="BI92" s="164"/>
    </row>
    <row r="93" ht="15.75" customHeight="1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  <c r="AO93" s="164"/>
      <c r="AP93" s="164"/>
      <c r="AQ93" s="164"/>
      <c r="AR93" s="164"/>
      <c r="AS93" s="164"/>
      <c r="AT93" s="164"/>
      <c r="AU93" s="164"/>
      <c r="AV93" s="164"/>
      <c r="AW93" s="164"/>
      <c r="AX93" s="164"/>
      <c r="AY93" s="164"/>
      <c r="AZ93" s="164"/>
      <c r="BA93" s="164"/>
      <c r="BB93" s="164"/>
      <c r="BC93" s="164"/>
      <c r="BD93" s="164"/>
      <c r="BE93" s="164"/>
      <c r="BF93" s="164"/>
      <c r="BG93" s="164"/>
      <c r="BH93" s="164"/>
      <c r="BI93" s="164"/>
    </row>
    <row r="94" ht="15.75" customHeight="1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  <c r="AO94" s="164"/>
      <c r="AP94" s="164"/>
      <c r="AQ94" s="164"/>
      <c r="AR94" s="164"/>
      <c r="AS94" s="164"/>
      <c r="AT94" s="164"/>
      <c r="AU94" s="164"/>
      <c r="AV94" s="164"/>
      <c r="AW94" s="164"/>
      <c r="AX94" s="164"/>
      <c r="AY94" s="164"/>
      <c r="AZ94" s="164"/>
      <c r="BA94" s="164"/>
      <c r="BB94" s="164"/>
      <c r="BC94" s="164"/>
      <c r="BD94" s="164"/>
      <c r="BE94" s="164"/>
      <c r="BF94" s="164"/>
      <c r="BG94" s="164"/>
      <c r="BH94" s="164"/>
      <c r="BI94" s="164"/>
    </row>
    <row r="95" ht="15.75" customHeight="1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64"/>
      <c r="AO95" s="164"/>
      <c r="AP95" s="164"/>
      <c r="AQ95" s="164"/>
      <c r="AR95" s="164"/>
      <c r="AS95" s="164"/>
      <c r="AT95" s="164"/>
      <c r="AU95" s="164"/>
      <c r="AV95" s="164"/>
      <c r="AW95" s="164"/>
      <c r="AX95" s="164"/>
      <c r="AY95" s="164"/>
      <c r="AZ95" s="164"/>
      <c r="BA95" s="164"/>
      <c r="BB95" s="164"/>
      <c r="BC95" s="164"/>
      <c r="BD95" s="164"/>
      <c r="BE95" s="164"/>
      <c r="BF95" s="164"/>
      <c r="BG95" s="164"/>
      <c r="BH95" s="164"/>
      <c r="BI95" s="164"/>
    </row>
    <row r="96" ht="15.75" customHeight="1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  <c r="AR96" s="164"/>
      <c r="AS96" s="164"/>
      <c r="AT96" s="164"/>
      <c r="AU96" s="164"/>
      <c r="AV96" s="164"/>
      <c r="AW96" s="164"/>
      <c r="AX96" s="164"/>
      <c r="AY96" s="164"/>
      <c r="AZ96" s="164"/>
      <c r="BA96" s="164"/>
      <c r="BB96" s="164"/>
      <c r="BC96" s="164"/>
      <c r="BD96" s="164"/>
      <c r="BE96" s="164"/>
      <c r="BF96" s="164"/>
      <c r="BG96" s="164"/>
      <c r="BH96" s="164"/>
      <c r="BI96" s="164"/>
    </row>
    <row r="97" ht="15.75" customHeight="1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64"/>
      <c r="AY97" s="164"/>
      <c r="AZ97" s="164"/>
      <c r="BA97" s="164"/>
      <c r="BB97" s="164"/>
      <c r="BC97" s="164"/>
      <c r="BD97" s="164"/>
      <c r="BE97" s="164"/>
      <c r="BF97" s="164"/>
      <c r="BG97" s="164"/>
      <c r="BH97" s="164"/>
      <c r="BI97" s="164"/>
    </row>
    <row r="98" ht="15.75" customHeight="1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  <c r="AM98" s="164"/>
      <c r="AN98" s="164"/>
      <c r="AO98" s="164"/>
      <c r="AP98" s="164"/>
      <c r="AQ98" s="164"/>
      <c r="AR98" s="164"/>
      <c r="AS98" s="164"/>
      <c r="AT98" s="164"/>
      <c r="AU98" s="164"/>
      <c r="AV98" s="164"/>
      <c r="AW98" s="164"/>
      <c r="AX98" s="164"/>
      <c r="AY98" s="164"/>
      <c r="AZ98" s="164"/>
      <c r="BA98" s="164"/>
      <c r="BB98" s="164"/>
      <c r="BC98" s="164"/>
      <c r="BD98" s="164"/>
      <c r="BE98" s="164"/>
      <c r="BF98" s="164"/>
      <c r="BG98" s="164"/>
      <c r="BH98" s="164"/>
      <c r="BI98" s="164"/>
    </row>
    <row r="99" ht="15.75" customHeight="1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  <c r="AO99" s="164"/>
      <c r="AP99" s="164"/>
      <c r="AQ99" s="164"/>
      <c r="AR99" s="164"/>
      <c r="AS99" s="164"/>
      <c r="AT99" s="164"/>
      <c r="AU99" s="164"/>
      <c r="AV99" s="164"/>
      <c r="AW99" s="164"/>
      <c r="AX99" s="164"/>
      <c r="AY99" s="164"/>
      <c r="AZ99" s="164"/>
      <c r="BA99" s="164"/>
      <c r="BB99" s="164"/>
      <c r="BC99" s="164"/>
      <c r="BD99" s="164"/>
      <c r="BE99" s="164"/>
      <c r="BF99" s="164"/>
      <c r="BG99" s="164"/>
      <c r="BH99" s="164"/>
      <c r="BI99" s="164"/>
    </row>
    <row r="100" ht="15.75" customHeight="1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  <c r="AO100" s="164"/>
      <c r="AP100" s="164"/>
      <c r="AQ100" s="164"/>
      <c r="AR100" s="164"/>
      <c r="AS100" s="164"/>
      <c r="AT100" s="164"/>
      <c r="AU100" s="164"/>
      <c r="AV100" s="164"/>
      <c r="AW100" s="164"/>
      <c r="AX100" s="164"/>
      <c r="AY100" s="164"/>
      <c r="AZ100" s="164"/>
      <c r="BA100" s="164"/>
      <c r="BB100" s="164"/>
      <c r="BC100" s="164"/>
      <c r="BD100" s="164"/>
      <c r="BE100" s="164"/>
      <c r="BF100" s="164"/>
      <c r="BG100" s="164"/>
      <c r="BH100" s="164"/>
      <c r="BI100" s="164"/>
    </row>
    <row r="101" ht="15.75" customHeight="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  <c r="AO101" s="164"/>
      <c r="AP101" s="164"/>
      <c r="AQ101" s="164"/>
      <c r="AR101" s="164"/>
      <c r="AS101" s="164"/>
      <c r="AT101" s="164"/>
      <c r="AU101" s="164"/>
      <c r="AV101" s="164"/>
      <c r="AW101" s="164"/>
      <c r="AX101" s="164"/>
      <c r="AY101" s="164"/>
      <c r="AZ101" s="164"/>
      <c r="BA101" s="164"/>
      <c r="BB101" s="164"/>
      <c r="BC101" s="164"/>
      <c r="BD101" s="164"/>
      <c r="BE101" s="164"/>
      <c r="BF101" s="164"/>
      <c r="BG101" s="164"/>
      <c r="BH101" s="164"/>
      <c r="BI101" s="164"/>
    </row>
    <row r="102" ht="15.75" customHeight="1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  <c r="AO102" s="164"/>
      <c r="AP102" s="164"/>
      <c r="AQ102" s="164"/>
      <c r="AR102" s="164"/>
      <c r="AS102" s="164"/>
      <c r="AT102" s="164"/>
      <c r="AU102" s="164"/>
      <c r="AV102" s="164"/>
      <c r="AW102" s="164"/>
      <c r="AX102" s="164"/>
      <c r="AY102" s="164"/>
      <c r="AZ102" s="164"/>
      <c r="BA102" s="164"/>
      <c r="BB102" s="164"/>
      <c r="BC102" s="164"/>
      <c r="BD102" s="164"/>
      <c r="BE102" s="164"/>
      <c r="BF102" s="164"/>
      <c r="BG102" s="164"/>
      <c r="BH102" s="164"/>
      <c r="BI102" s="164"/>
    </row>
    <row r="103" ht="15.75" customHeight="1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/>
      <c r="AL103" s="164"/>
      <c r="AM103" s="164"/>
      <c r="AN103" s="164"/>
      <c r="AO103" s="164"/>
      <c r="AP103" s="164"/>
      <c r="AQ103" s="164"/>
      <c r="AR103" s="164"/>
      <c r="AS103" s="164"/>
      <c r="AT103" s="164"/>
      <c r="AU103" s="164"/>
      <c r="AV103" s="164"/>
      <c r="AW103" s="164"/>
      <c r="AX103" s="164"/>
      <c r="AY103" s="164"/>
      <c r="AZ103" s="164"/>
      <c r="BA103" s="164"/>
      <c r="BB103" s="164"/>
      <c r="BC103" s="164"/>
      <c r="BD103" s="164"/>
      <c r="BE103" s="164"/>
      <c r="BF103" s="164"/>
      <c r="BG103" s="164"/>
      <c r="BH103" s="164"/>
      <c r="BI103" s="164"/>
    </row>
    <row r="104" ht="15.75" customHeight="1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4"/>
      <c r="AT104" s="164"/>
      <c r="AU104" s="164"/>
      <c r="AV104" s="164"/>
      <c r="AW104" s="164"/>
      <c r="AX104" s="164"/>
      <c r="AY104" s="164"/>
      <c r="AZ104" s="164"/>
      <c r="BA104" s="164"/>
      <c r="BB104" s="164"/>
      <c r="BC104" s="164"/>
      <c r="BD104" s="164"/>
      <c r="BE104" s="164"/>
      <c r="BF104" s="164"/>
      <c r="BG104" s="164"/>
      <c r="BH104" s="164"/>
      <c r="BI104" s="164"/>
    </row>
    <row r="105" ht="15.75" customHeight="1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4"/>
      <c r="AT105" s="164"/>
      <c r="AU105" s="164"/>
      <c r="AV105" s="164"/>
      <c r="AW105" s="164"/>
      <c r="AX105" s="164"/>
      <c r="AY105" s="164"/>
      <c r="AZ105" s="164"/>
      <c r="BA105" s="164"/>
      <c r="BB105" s="164"/>
      <c r="BC105" s="164"/>
      <c r="BD105" s="164"/>
      <c r="BE105" s="164"/>
      <c r="BF105" s="164"/>
      <c r="BG105" s="164"/>
      <c r="BH105" s="164"/>
      <c r="BI105" s="164"/>
    </row>
    <row r="106" ht="15.75" customHeight="1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4"/>
      <c r="AT106" s="164"/>
      <c r="AU106" s="164"/>
      <c r="AV106" s="164"/>
      <c r="AW106" s="164"/>
      <c r="AX106" s="164"/>
      <c r="AY106" s="164"/>
      <c r="AZ106" s="164"/>
      <c r="BA106" s="164"/>
      <c r="BB106" s="164"/>
      <c r="BC106" s="164"/>
      <c r="BD106" s="164"/>
      <c r="BE106" s="164"/>
      <c r="BF106" s="164"/>
      <c r="BG106" s="164"/>
      <c r="BH106" s="164"/>
      <c r="BI106" s="164"/>
    </row>
    <row r="107" ht="15.75" customHeight="1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4"/>
      <c r="AT107" s="164"/>
      <c r="AU107" s="164"/>
      <c r="AV107" s="164"/>
      <c r="AW107" s="164"/>
      <c r="AX107" s="164"/>
      <c r="AY107" s="164"/>
      <c r="AZ107" s="164"/>
      <c r="BA107" s="164"/>
      <c r="BB107" s="164"/>
      <c r="BC107" s="164"/>
      <c r="BD107" s="164"/>
      <c r="BE107" s="164"/>
      <c r="BF107" s="164"/>
      <c r="BG107" s="164"/>
      <c r="BH107" s="164"/>
      <c r="BI107" s="164"/>
    </row>
    <row r="108" ht="15.75" customHeight="1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  <c r="AR108" s="164"/>
      <c r="AS108" s="164"/>
      <c r="AT108" s="164"/>
      <c r="AU108" s="164"/>
      <c r="AV108" s="164"/>
      <c r="AW108" s="164"/>
      <c r="AX108" s="164"/>
      <c r="AY108" s="164"/>
      <c r="AZ108" s="164"/>
      <c r="BA108" s="164"/>
      <c r="BB108" s="164"/>
      <c r="BC108" s="164"/>
      <c r="BD108" s="164"/>
      <c r="BE108" s="164"/>
      <c r="BF108" s="164"/>
      <c r="BG108" s="164"/>
      <c r="BH108" s="164"/>
      <c r="BI108" s="164"/>
    </row>
    <row r="109" ht="15.75" customHeight="1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  <c r="AM109" s="164"/>
      <c r="AN109" s="164"/>
      <c r="AO109" s="164"/>
      <c r="AP109" s="164"/>
      <c r="AQ109" s="164"/>
      <c r="AR109" s="164"/>
      <c r="AS109" s="164"/>
      <c r="AT109" s="164"/>
      <c r="AU109" s="164"/>
      <c r="AV109" s="164"/>
      <c r="AW109" s="164"/>
      <c r="AX109" s="164"/>
      <c r="AY109" s="164"/>
      <c r="AZ109" s="164"/>
      <c r="BA109" s="164"/>
      <c r="BB109" s="164"/>
      <c r="BC109" s="164"/>
      <c r="BD109" s="164"/>
      <c r="BE109" s="164"/>
      <c r="BF109" s="164"/>
      <c r="BG109" s="164"/>
      <c r="BH109" s="164"/>
      <c r="BI109" s="164"/>
    </row>
    <row r="110" ht="15.75" customHeight="1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64"/>
      <c r="AO110" s="164"/>
      <c r="AP110" s="164"/>
      <c r="AQ110" s="164"/>
      <c r="AR110" s="164"/>
      <c r="AS110" s="164"/>
      <c r="AT110" s="164"/>
      <c r="AU110" s="164"/>
      <c r="AV110" s="164"/>
      <c r="AW110" s="164"/>
      <c r="AX110" s="164"/>
      <c r="AY110" s="164"/>
      <c r="AZ110" s="164"/>
      <c r="BA110" s="164"/>
      <c r="BB110" s="164"/>
      <c r="BC110" s="164"/>
      <c r="BD110" s="164"/>
      <c r="BE110" s="164"/>
      <c r="BF110" s="164"/>
      <c r="BG110" s="164"/>
      <c r="BH110" s="164"/>
      <c r="BI110" s="164"/>
    </row>
    <row r="111" ht="15.75" customHeight="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  <c r="AM111" s="164"/>
      <c r="AN111" s="164"/>
      <c r="AO111" s="164"/>
      <c r="AP111" s="164"/>
      <c r="AQ111" s="164"/>
      <c r="AR111" s="164"/>
      <c r="AS111" s="164"/>
      <c r="AT111" s="164"/>
      <c r="AU111" s="164"/>
      <c r="AV111" s="164"/>
      <c r="AW111" s="164"/>
      <c r="AX111" s="164"/>
      <c r="AY111" s="164"/>
      <c r="AZ111" s="164"/>
      <c r="BA111" s="164"/>
      <c r="BB111" s="164"/>
      <c r="BC111" s="164"/>
      <c r="BD111" s="164"/>
      <c r="BE111" s="164"/>
      <c r="BF111" s="164"/>
      <c r="BG111" s="164"/>
      <c r="BH111" s="164"/>
      <c r="BI111" s="164"/>
    </row>
    <row r="112" ht="15.75" customHeight="1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64"/>
      <c r="AO112" s="164"/>
      <c r="AP112" s="164"/>
      <c r="AQ112" s="164"/>
      <c r="AR112" s="164"/>
      <c r="AS112" s="164"/>
      <c r="AT112" s="164"/>
      <c r="AU112" s="164"/>
      <c r="AV112" s="164"/>
      <c r="AW112" s="164"/>
      <c r="AX112" s="164"/>
      <c r="AY112" s="164"/>
      <c r="AZ112" s="164"/>
      <c r="BA112" s="164"/>
      <c r="BB112" s="164"/>
      <c r="BC112" s="164"/>
      <c r="BD112" s="164"/>
      <c r="BE112" s="164"/>
      <c r="BF112" s="164"/>
      <c r="BG112" s="164"/>
      <c r="BH112" s="164"/>
      <c r="BI112" s="164"/>
    </row>
    <row r="113" ht="15.75" customHeight="1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  <c r="AM113" s="164"/>
      <c r="AN113" s="164"/>
      <c r="AO113" s="164"/>
      <c r="AP113" s="164"/>
      <c r="AQ113" s="164"/>
      <c r="AR113" s="164"/>
      <c r="AS113" s="164"/>
      <c r="AT113" s="164"/>
      <c r="AU113" s="164"/>
      <c r="AV113" s="164"/>
      <c r="AW113" s="164"/>
      <c r="AX113" s="164"/>
      <c r="AY113" s="164"/>
      <c r="AZ113" s="164"/>
      <c r="BA113" s="164"/>
      <c r="BB113" s="164"/>
      <c r="BC113" s="164"/>
      <c r="BD113" s="164"/>
      <c r="BE113" s="164"/>
      <c r="BF113" s="164"/>
      <c r="BG113" s="164"/>
      <c r="BH113" s="164"/>
      <c r="BI113" s="164"/>
    </row>
    <row r="114" ht="15.75" customHeight="1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  <c r="AM114" s="164"/>
      <c r="AN114" s="164"/>
      <c r="AO114" s="164"/>
      <c r="AP114" s="164"/>
      <c r="AQ114" s="164"/>
      <c r="AR114" s="164"/>
      <c r="AS114" s="164"/>
      <c r="AT114" s="164"/>
      <c r="AU114" s="164"/>
      <c r="AV114" s="164"/>
      <c r="AW114" s="164"/>
      <c r="AX114" s="164"/>
      <c r="AY114" s="164"/>
      <c r="AZ114" s="164"/>
      <c r="BA114" s="164"/>
      <c r="BB114" s="164"/>
      <c r="BC114" s="164"/>
      <c r="BD114" s="164"/>
      <c r="BE114" s="164"/>
      <c r="BF114" s="164"/>
      <c r="BG114" s="164"/>
      <c r="BH114" s="164"/>
      <c r="BI114" s="164"/>
    </row>
    <row r="115" ht="15.75" customHeight="1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  <c r="AM115" s="164"/>
      <c r="AN115" s="164"/>
      <c r="AO115" s="164"/>
      <c r="AP115" s="164"/>
      <c r="AQ115" s="164"/>
      <c r="AR115" s="164"/>
      <c r="AS115" s="164"/>
      <c r="AT115" s="164"/>
      <c r="AU115" s="164"/>
      <c r="AV115" s="164"/>
      <c r="AW115" s="164"/>
      <c r="AX115" s="164"/>
      <c r="AY115" s="164"/>
      <c r="AZ115" s="164"/>
      <c r="BA115" s="164"/>
      <c r="BB115" s="164"/>
      <c r="BC115" s="164"/>
      <c r="BD115" s="164"/>
      <c r="BE115" s="164"/>
      <c r="BF115" s="164"/>
      <c r="BG115" s="164"/>
      <c r="BH115" s="164"/>
      <c r="BI115" s="164"/>
    </row>
    <row r="116" ht="15.75" customHeight="1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  <c r="AM116" s="164"/>
      <c r="AN116" s="164"/>
      <c r="AO116" s="164"/>
      <c r="AP116" s="164"/>
      <c r="AQ116" s="164"/>
      <c r="AR116" s="164"/>
      <c r="AS116" s="164"/>
      <c r="AT116" s="164"/>
      <c r="AU116" s="164"/>
      <c r="AV116" s="164"/>
      <c r="AW116" s="164"/>
      <c r="AX116" s="164"/>
      <c r="AY116" s="164"/>
      <c r="AZ116" s="164"/>
      <c r="BA116" s="164"/>
      <c r="BB116" s="164"/>
      <c r="BC116" s="164"/>
      <c r="BD116" s="164"/>
      <c r="BE116" s="164"/>
      <c r="BF116" s="164"/>
      <c r="BG116" s="164"/>
      <c r="BH116" s="164"/>
      <c r="BI116" s="164"/>
    </row>
    <row r="117" ht="15.75" customHeight="1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  <c r="AJ117" s="164"/>
      <c r="AK117" s="164"/>
      <c r="AL117" s="164"/>
      <c r="AM117" s="164"/>
      <c r="AN117" s="164"/>
      <c r="AO117" s="164"/>
      <c r="AP117" s="164"/>
      <c r="AQ117" s="164"/>
      <c r="AR117" s="164"/>
      <c r="AS117" s="164"/>
      <c r="AT117" s="164"/>
      <c r="AU117" s="164"/>
      <c r="AV117" s="164"/>
      <c r="AW117" s="164"/>
      <c r="AX117" s="164"/>
      <c r="AY117" s="164"/>
      <c r="AZ117" s="164"/>
      <c r="BA117" s="164"/>
      <c r="BB117" s="164"/>
      <c r="BC117" s="164"/>
      <c r="BD117" s="164"/>
      <c r="BE117" s="164"/>
      <c r="BF117" s="164"/>
      <c r="BG117" s="164"/>
      <c r="BH117" s="164"/>
      <c r="BI117" s="164"/>
    </row>
    <row r="118" ht="15.75" customHeight="1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64"/>
      <c r="AJ118" s="164"/>
      <c r="AK118" s="164"/>
      <c r="AL118" s="164"/>
      <c r="AM118" s="164"/>
      <c r="AN118" s="164"/>
      <c r="AO118" s="164"/>
      <c r="AP118" s="164"/>
      <c r="AQ118" s="164"/>
      <c r="AR118" s="164"/>
      <c r="AS118" s="164"/>
      <c r="AT118" s="164"/>
      <c r="AU118" s="164"/>
      <c r="AV118" s="164"/>
      <c r="AW118" s="164"/>
      <c r="AX118" s="164"/>
      <c r="AY118" s="164"/>
      <c r="AZ118" s="164"/>
      <c r="BA118" s="164"/>
      <c r="BB118" s="164"/>
      <c r="BC118" s="164"/>
      <c r="BD118" s="164"/>
      <c r="BE118" s="164"/>
      <c r="BF118" s="164"/>
      <c r="BG118" s="164"/>
      <c r="BH118" s="164"/>
      <c r="BI118" s="164"/>
    </row>
    <row r="119" ht="15.75" customHeight="1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64"/>
      <c r="AK119" s="164"/>
      <c r="AL119" s="164"/>
      <c r="AM119" s="164"/>
      <c r="AN119" s="164"/>
      <c r="AO119" s="164"/>
      <c r="AP119" s="164"/>
      <c r="AQ119" s="164"/>
      <c r="AR119" s="164"/>
      <c r="AS119" s="164"/>
      <c r="AT119" s="164"/>
      <c r="AU119" s="164"/>
      <c r="AV119" s="164"/>
      <c r="AW119" s="164"/>
      <c r="AX119" s="164"/>
      <c r="AY119" s="164"/>
      <c r="AZ119" s="164"/>
      <c r="BA119" s="164"/>
      <c r="BB119" s="164"/>
      <c r="BC119" s="164"/>
      <c r="BD119" s="164"/>
      <c r="BE119" s="164"/>
      <c r="BF119" s="164"/>
      <c r="BG119" s="164"/>
      <c r="BH119" s="164"/>
      <c r="BI119" s="164"/>
    </row>
    <row r="120" ht="15.75" customHeight="1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  <c r="AO120" s="164"/>
      <c r="AP120" s="164"/>
      <c r="AQ120" s="164"/>
      <c r="AR120" s="164"/>
      <c r="AS120" s="164"/>
      <c r="AT120" s="164"/>
      <c r="AU120" s="164"/>
      <c r="AV120" s="164"/>
      <c r="AW120" s="164"/>
      <c r="AX120" s="164"/>
      <c r="AY120" s="164"/>
      <c r="AZ120" s="164"/>
      <c r="BA120" s="164"/>
      <c r="BB120" s="164"/>
      <c r="BC120" s="164"/>
      <c r="BD120" s="164"/>
      <c r="BE120" s="164"/>
      <c r="BF120" s="164"/>
      <c r="BG120" s="164"/>
      <c r="BH120" s="164"/>
      <c r="BI120" s="164"/>
    </row>
    <row r="121" ht="15.75" customHeight="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  <c r="AH121" s="164"/>
      <c r="AI121" s="164"/>
      <c r="AJ121" s="164"/>
      <c r="AK121" s="164"/>
      <c r="AL121" s="164"/>
      <c r="AM121" s="164"/>
      <c r="AN121" s="164"/>
      <c r="AO121" s="164"/>
      <c r="AP121" s="164"/>
      <c r="AQ121" s="164"/>
      <c r="AR121" s="164"/>
      <c r="AS121" s="164"/>
      <c r="AT121" s="164"/>
      <c r="AU121" s="164"/>
      <c r="AV121" s="164"/>
      <c r="AW121" s="164"/>
      <c r="AX121" s="164"/>
      <c r="AY121" s="164"/>
      <c r="AZ121" s="164"/>
      <c r="BA121" s="164"/>
      <c r="BB121" s="164"/>
      <c r="BC121" s="164"/>
      <c r="BD121" s="164"/>
      <c r="BE121" s="164"/>
      <c r="BF121" s="164"/>
      <c r="BG121" s="164"/>
      <c r="BH121" s="164"/>
      <c r="BI121" s="164"/>
    </row>
    <row r="122" ht="15.75" customHeight="1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64"/>
      <c r="AM122" s="164"/>
      <c r="AN122" s="164"/>
      <c r="AO122" s="164"/>
      <c r="AP122" s="164"/>
      <c r="AQ122" s="164"/>
      <c r="AR122" s="164"/>
      <c r="AS122" s="164"/>
      <c r="AT122" s="164"/>
      <c r="AU122" s="164"/>
      <c r="AV122" s="164"/>
      <c r="AW122" s="164"/>
      <c r="AX122" s="164"/>
      <c r="AY122" s="164"/>
      <c r="AZ122" s="164"/>
      <c r="BA122" s="164"/>
      <c r="BB122" s="164"/>
      <c r="BC122" s="164"/>
      <c r="BD122" s="164"/>
      <c r="BE122" s="164"/>
      <c r="BF122" s="164"/>
      <c r="BG122" s="164"/>
      <c r="BH122" s="164"/>
      <c r="BI122" s="164"/>
    </row>
    <row r="123" ht="15.75" customHeight="1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64"/>
      <c r="AJ123" s="164"/>
      <c r="AK123" s="164"/>
      <c r="AL123" s="164"/>
      <c r="AM123" s="164"/>
      <c r="AN123" s="164"/>
      <c r="AO123" s="164"/>
      <c r="AP123" s="164"/>
      <c r="AQ123" s="164"/>
      <c r="AR123" s="164"/>
      <c r="AS123" s="164"/>
      <c r="AT123" s="164"/>
      <c r="AU123" s="164"/>
      <c r="AV123" s="164"/>
      <c r="AW123" s="164"/>
      <c r="AX123" s="164"/>
      <c r="AY123" s="164"/>
      <c r="AZ123" s="164"/>
      <c r="BA123" s="164"/>
      <c r="BB123" s="164"/>
      <c r="BC123" s="164"/>
      <c r="BD123" s="164"/>
      <c r="BE123" s="164"/>
      <c r="BF123" s="164"/>
      <c r="BG123" s="164"/>
      <c r="BH123" s="164"/>
      <c r="BI123" s="164"/>
    </row>
    <row r="124" ht="15.75" customHeight="1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164"/>
      <c r="AJ124" s="164"/>
      <c r="AK124" s="164"/>
      <c r="AL124" s="164"/>
      <c r="AM124" s="164"/>
      <c r="AN124" s="164"/>
      <c r="AO124" s="164"/>
      <c r="AP124" s="164"/>
      <c r="AQ124" s="164"/>
      <c r="AR124" s="164"/>
      <c r="AS124" s="164"/>
      <c r="AT124" s="164"/>
      <c r="AU124" s="164"/>
      <c r="AV124" s="164"/>
      <c r="AW124" s="164"/>
      <c r="AX124" s="164"/>
      <c r="AY124" s="164"/>
      <c r="AZ124" s="164"/>
      <c r="BA124" s="164"/>
      <c r="BB124" s="164"/>
      <c r="BC124" s="164"/>
      <c r="BD124" s="164"/>
      <c r="BE124" s="164"/>
      <c r="BF124" s="164"/>
      <c r="BG124" s="164"/>
      <c r="BH124" s="164"/>
      <c r="BI124" s="164"/>
    </row>
    <row r="125" ht="15.75" customHeight="1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  <c r="AH125" s="164"/>
      <c r="AI125" s="164"/>
      <c r="AJ125" s="164"/>
      <c r="AK125" s="164"/>
      <c r="AL125" s="164"/>
      <c r="AM125" s="164"/>
      <c r="AN125" s="164"/>
      <c r="AO125" s="164"/>
      <c r="AP125" s="164"/>
      <c r="AQ125" s="164"/>
      <c r="AR125" s="164"/>
      <c r="AS125" s="164"/>
      <c r="AT125" s="164"/>
      <c r="AU125" s="164"/>
      <c r="AV125" s="164"/>
      <c r="AW125" s="164"/>
      <c r="AX125" s="164"/>
      <c r="AY125" s="164"/>
      <c r="AZ125" s="164"/>
      <c r="BA125" s="164"/>
      <c r="BB125" s="164"/>
      <c r="BC125" s="164"/>
      <c r="BD125" s="164"/>
      <c r="BE125" s="164"/>
      <c r="BF125" s="164"/>
      <c r="BG125" s="164"/>
      <c r="BH125" s="164"/>
      <c r="BI125" s="164"/>
    </row>
    <row r="126" ht="15.75" customHeight="1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64"/>
      <c r="AJ126" s="164"/>
      <c r="AK126" s="164"/>
      <c r="AL126" s="164"/>
      <c r="AM126" s="164"/>
      <c r="AN126" s="164"/>
      <c r="AO126" s="164"/>
      <c r="AP126" s="164"/>
      <c r="AQ126" s="164"/>
      <c r="AR126" s="164"/>
      <c r="AS126" s="164"/>
      <c r="AT126" s="164"/>
      <c r="AU126" s="164"/>
      <c r="AV126" s="164"/>
      <c r="AW126" s="164"/>
      <c r="AX126" s="164"/>
      <c r="AY126" s="164"/>
      <c r="AZ126" s="164"/>
      <c r="BA126" s="164"/>
      <c r="BB126" s="164"/>
      <c r="BC126" s="164"/>
      <c r="BD126" s="164"/>
      <c r="BE126" s="164"/>
      <c r="BF126" s="164"/>
      <c r="BG126" s="164"/>
      <c r="BH126" s="164"/>
      <c r="BI126" s="164"/>
    </row>
    <row r="127" ht="15.75" customHeight="1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  <c r="AH127" s="164"/>
      <c r="AI127" s="164"/>
      <c r="AJ127" s="164"/>
      <c r="AK127" s="164"/>
      <c r="AL127" s="164"/>
      <c r="AM127" s="164"/>
      <c r="AN127" s="164"/>
      <c r="AO127" s="164"/>
      <c r="AP127" s="164"/>
      <c r="AQ127" s="164"/>
      <c r="AR127" s="164"/>
      <c r="AS127" s="164"/>
      <c r="AT127" s="164"/>
      <c r="AU127" s="164"/>
      <c r="AV127" s="164"/>
      <c r="AW127" s="164"/>
      <c r="AX127" s="164"/>
      <c r="AY127" s="164"/>
      <c r="AZ127" s="164"/>
      <c r="BA127" s="164"/>
      <c r="BB127" s="164"/>
      <c r="BC127" s="164"/>
      <c r="BD127" s="164"/>
      <c r="BE127" s="164"/>
      <c r="BF127" s="164"/>
      <c r="BG127" s="164"/>
      <c r="BH127" s="164"/>
      <c r="BI127" s="164"/>
    </row>
    <row r="128" ht="15.75" customHeight="1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  <c r="AH128" s="164"/>
      <c r="AI128" s="164"/>
      <c r="AJ128" s="164"/>
      <c r="AK128" s="164"/>
      <c r="AL128" s="164"/>
      <c r="AM128" s="164"/>
      <c r="AN128" s="164"/>
      <c r="AO128" s="164"/>
      <c r="AP128" s="164"/>
      <c r="AQ128" s="164"/>
      <c r="AR128" s="164"/>
      <c r="AS128" s="164"/>
      <c r="AT128" s="164"/>
      <c r="AU128" s="164"/>
      <c r="AV128" s="164"/>
      <c r="AW128" s="164"/>
      <c r="AX128" s="164"/>
      <c r="AY128" s="164"/>
      <c r="AZ128" s="164"/>
      <c r="BA128" s="164"/>
      <c r="BB128" s="164"/>
      <c r="BC128" s="164"/>
      <c r="BD128" s="164"/>
      <c r="BE128" s="164"/>
      <c r="BF128" s="164"/>
      <c r="BG128" s="164"/>
      <c r="BH128" s="164"/>
      <c r="BI128" s="164"/>
    </row>
    <row r="129" ht="15.75" customHeight="1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/>
      <c r="AJ129" s="164"/>
      <c r="AK129" s="164"/>
      <c r="AL129" s="164"/>
      <c r="AM129" s="164"/>
      <c r="AN129" s="164"/>
      <c r="AO129" s="164"/>
      <c r="AP129" s="164"/>
      <c r="AQ129" s="164"/>
      <c r="AR129" s="164"/>
      <c r="AS129" s="164"/>
      <c r="AT129" s="164"/>
      <c r="AU129" s="164"/>
      <c r="AV129" s="164"/>
      <c r="AW129" s="164"/>
      <c r="AX129" s="164"/>
      <c r="AY129" s="164"/>
      <c r="AZ129" s="164"/>
      <c r="BA129" s="164"/>
      <c r="BB129" s="164"/>
      <c r="BC129" s="164"/>
      <c r="BD129" s="164"/>
      <c r="BE129" s="164"/>
      <c r="BF129" s="164"/>
      <c r="BG129" s="164"/>
      <c r="BH129" s="164"/>
      <c r="BI129" s="164"/>
    </row>
    <row r="130" ht="15.75" customHeight="1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  <c r="AM130" s="164"/>
      <c r="AN130" s="164"/>
      <c r="AO130" s="164"/>
      <c r="AP130" s="164"/>
      <c r="AQ130" s="164"/>
      <c r="AR130" s="164"/>
      <c r="AS130" s="164"/>
      <c r="AT130" s="164"/>
      <c r="AU130" s="164"/>
      <c r="AV130" s="164"/>
      <c r="AW130" s="164"/>
      <c r="AX130" s="164"/>
      <c r="AY130" s="164"/>
      <c r="AZ130" s="164"/>
      <c r="BA130" s="164"/>
      <c r="BB130" s="164"/>
      <c r="BC130" s="164"/>
      <c r="BD130" s="164"/>
      <c r="BE130" s="164"/>
      <c r="BF130" s="164"/>
      <c r="BG130" s="164"/>
      <c r="BH130" s="164"/>
      <c r="BI130" s="164"/>
    </row>
    <row r="131" ht="15.75" customHeight="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64"/>
      <c r="AM131" s="164"/>
      <c r="AN131" s="164"/>
      <c r="AO131" s="164"/>
      <c r="AP131" s="164"/>
      <c r="AQ131" s="164"/>
      <c r="AR131" s="164"/>
      <c r="AS131" s="164"/>
      <c r="AT131" s="164"/>
      <c r="AU131" s="164"/>
      <c r="AV131" s="164"/>
      <c r="AW131" s="164"/>
      <c r="AX131" s="164"/>
      <c r="AY131" s="164"/>
      <c r="AZ131" s="164"/>
      <c r="BA131" s="164"/>
      <c r="BB131" s="164"/>
      <c r="BC131" s="164"/>
      <c r="BD131" s="164"/>
      <c r="BE131" s="164"/>
      <c r="BF131" s="164"/>
      <c r="BG131" s="164"/>
      <c r="BH131" s="164"/>
      <c r="BI131" s="164"/>
    </row>
    <row r="132" ht="15.75" customHeight="1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64"/>
      <c r="AJ132" s="164"/>
      <c r="AK132" s="164"/>
      <c r="AL132" s="164"/>
      <c r="AM132" s="164"/>
      <c r="AN132" s="164"/>
      <c r="AO132" s="164"/>
      <c r="AP132" s="164"/>
      <c r="AQ132" s="164"/>
      <c r="AR132" s="164"/>
      <c r="AS132" s="164"/>
      <c r="AT132" s="164"/>
      <c r="AU132" s="164"/>
      <c r="AV132" s="164"/>
      <c r="AW132" s="164"/>
      <c r="AX132" s="164"/>
      <c r="AY132" s="164"/>
      <c r="AZ132" s="164"/>
      <c r="BA132" s="164"/>
      <c r="BB132" s="164"/>
      <c r="BC132" s="164"/>
      <c r="BD132" s="164"/>
      <c r="BE132" s="164"/>
      <c r="BF132" s="164"/>
      <c r="BG132" s="164"/>
      <c r="BH132" s="164"/>
      <c r="BI132" s="164"/>
    </row>
    <row r="133" ht="15.75" customHeight="1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64"/>
      <c r="AJ133" s="164"/>
      <c r="AK133" s="164"/>
      <c r="AL133" s="164"/>
      <c r="AM133" s="164"/>
      <c r="AN133" s="164"/>
      <c r="AO133" s="164"/>
      <c r="AP133" s="164"/>
      <c r="AQ133" s="164"/>
      <c r="AR133" s="164"/>
      <c r="AS133" s="164"/>
      <c r="AT133" s="164"/>
      <c r="AU133" s="164"/>
      <c r="AV133" s="164"/>
      <c r="AW133" s="164"/>
      <c r="AX133" s="164"/>
      <c r="AY133" s="164"/>
      <c r="AZ133" s="164"/>
      <c r="BA133" s="164"/>
      <c r="BB133" s="164"/>
      <c r="BC133" s="164"/>
      <c r="BD133" s="164"/>
      <c r="BE133" s="164"/>
      <c r="BF133" s="164"/>
      <c r="BG133" s="164"/>
      <c r="BH133" s="164"/>
      <c r="BI133" s="164"/>
    </row>
    <row r="134" ht="15.75" customHeight="1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  <c r="AO134" s="164"/>
      <c r="AP134" s="164"/>
      <c r="AQ134" s="164"/>
      <c r="AR134" s="164"/>
      <c r="AS134" s="164"/>
      <c r="AT134" s="164"/>
      <c r="AU134" s="164"/>
      <c r="AV134" s="164"/>
      <c r="AW134" s="164"/>
      <c r="AX134" s="164"/>
      <c r="AY134" s="164"/>
      <c r="AZ134" s="164"/>
      <c r="BA134" s="164"/>
      <c r="BB134" s="164"/>
      <c r="BC134" s="164"/>
      <c r="BD134" s="164"/>
      <c r="BE134" s="164"/>
      <c r="BF134" s="164"/>
      <c r="BG134" s="164"/>
      <c r="BH134" s="164"/>
      <c r="BI134" s="164"/>
    </row>
    <row r="135" ht="15.75" customHeight="1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  <c r="AO135" s="164"/>
      <c r="AP135" s="164"/>
      <c r="AQ135" s="164"/>
      <c r="AR135" s="164"/>
      <c r="AS135" s="164"/>
      <c r="AT135" s="164"/>
      <c r="AU135" s="164"/>
      <c r="AV135" s="164"/>
      <c r="AW135" s="164"/>
      <c r="AX135" s="164"/>
      <c r="AY135" s="164"/>
      <c r="AZ135" s="164"/>
      <c r="BA135" s="164"/>
      <c r="BB135" s="164"/>
      <c r="BC135" s="164"/>
      <c r="BD135" s="164"/>
      <c r="BE135" s="164"/>
      <c r="BF135" s="164"/>
      <c r="BG135" s="164"/>
      <c r="BH135" s="164"/>
      <c r="BI135" s="164"/>
    </row>
    <row r="136" ht="15.75" customHeight="1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  <c r="AE136" s="164"/>
      <c r="AF136" s="164"/>
      <c r="AG136" s="164"/>
      <c r="AH136" s="164"/>
      <c r="AI136" s="164"/>
      <c r="AJ136" s="164"/>
      <c r="AK136" s="164"/>
      <c r="AL136" s="164"/>
      <c r="AM136" s="164"/>
      <c r="AN136" s="164"/>
      <c r="AO136" s="164"/>
      <c r="AP136" s="164"/>
      <c r="AQ136" s="164"/>
      <c r="AR136" s="164"/>
      <c r="AS136" s="164"/>
      <c r="AT136" s="164"/>
      <c r="AU136" s="164"/>
      <c r="AV136" s="164"/>
      <c r="AW136" s="164"/>
      <c r="AX136" s="164"/>
      <c r="AY136" s="164"/>
      <c r="AZ136" s="164"/>
      <c r="BA136" s="164"/>
      <c r="BB136" s="164"/>
      <c r="BC136" s="164"/>
      <c r="BD136" s="164"/>
      <c r="BE136" s="164"/>
      <c r="BF136" s="164"/>
      <c r="BG136" s="164"/>
      <c r="BH136" s="164"/>
      <c r="BI136" s="164"/>
    </row>
    <row r="137" ht="15.75" customHeight="1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64"/>
      <c r="AJ137" s="164"/>
      <c r="AK137" s="164"/>
      <c r="AL137" s="164"/>
      <c r="AM137" s="164"/>
      <c r="AN137" s="164"/>
      <c r="AO137" s="164"/>
      <c r="AP137" s="164"/>
      <c r="AQ137" s="164"/>
      <c r="AR137" s="164"/>
      <c r="AS137" s="164"/>
      <c r="AT137" s="164"/>
      <c r="AU137" s="164"/>
      <c r="AV137" s="164"/>
      <c r="AW137" s="164"/>
      <c r="AX137" s="164"/>
      <c r="AY137" s="164"/>
      <c r="AZ137" s="164"/>
      <c r="BA137" s="164"/>
      <c r="BB137" s="164"/>
      <c r="BC137" s="164"/>
      <c r="BD137" s="164"/>
      <c r="BE137" s="164"/>
      <c r="BF137" s="164"/>
      <c r="BG137" s="164"/>
      <c r="BH137" s="164"/>
      <c r="BI137" s="164"/>
    </row>
    <row r="138" ht="15.75" customHeight="1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  <c r="AG138" s="164"/>
      <c r="AH138" s="164"/>
      <c r="AI138" s="164"/>
      <c r="AJ138" s="164"/>
      <c r="AK138" s="164"/>
      <c r="AL138" s="164"/>
      <c r="AM138" s="164"/>
      <c r="AN138" s="164"/>
      <c r="AO138" s="164"/>
      <c r="AP138" s="164"/>
      <c r="AQ138" s="164"/>
      <c r="AR138" s="164"/>
      <c r="AS138" s="164"/>
      <c r="AT138" s="164"/>
      <c r="AU138" s="164"/>
      <c r="AV138" s="164"/>
      <c r="AW138" s="164"/>
      <c r="AX138" s="164"/>
      <c r="AY138" s="164"/>
      <c r="AZ138" s="164"/>
      <c r="BA138" s="164"/>
      <c r="BB138" s="164"/>
      <c r="BC138" s="164"/>
      <c r="BD138" s="164"/>
      <c r="BE138" s="164"/>
      <c r="BF138" s="164"/>
      <c r="BG138" s="164"/>
      <c r="BH138" s="164"/>
      <c r="BI138" s="164"/>
    </row>
    <row r="139" ht="15.75" customHeight="1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  <c r="AG139" s="164"/>
      <c r="AH139" s="164"/>
      <c r="AI139" s="164"/>
      <c r="AJ139" s="164"/>
      <c r="AK139" s="164"/>
      <c r="AL139" s="164"/>
      <c r="AM139" s="164"/>
      <c r="AN139" s="164"/>
      <c r="AO139" s="164"/>
      <c r="AP139" s="164"/>
      <c r="AQ139" s="164"/>
      <c r="AR139" s="164"/>
      <c r="AS139" s="164"/>
      <c r="AT139" s="164"/>
      <c r="AU139" s="164"/>
      <c r="AV139" s="164"/>
      <c r="AW139" s="164"/>
      <c r="AX139" s="164"/>
      <c r="AY139" s="164"/>
      <c r="AZ139" s="164"/>
      <c r="BA139" s="164"/>
      <c r="BB139" s="164"/>
      <c r="BC139" s="164"/>
      <c r="BD139" s="164"/>
      <c r="BE139" s="164"/>
      <c r="BF139" s="164"/>
      <c r="BG139" s="164"/>
      <c r="BH139" s="164"/>
      <c r="BI139" s="164"/>
    </row>
    <row r="140" ht="15.75" customHeight="1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  <c r="AM140" s="164"/>
      <c r="AN140" s="164"/>
      <c r="AO140" s="164"/>
      <c r="AP140" s="164"/>
      <c r="AQ140" s="164"/>
      <c r="AR140" s="164"/>
      <c r="AS140" s="164"/>
      <c r="AT140" s="164"/>
      <c r="AU140" s="164"/>
      <c r="AV140" s="164"/>
      <c r="AW140" s="164"/>
      <c r="AX140" s="164"/>
      <c r="AY140" s="164"/>
      <c r="AZ140" s="164"/>
      <c r="BA140" s="164"/>
      <c r="BB140" s="164"/>
      <c r="BC140" s="164"/>
      <c r="BD140" s="164"/>
      <c r="BE140" s="164"/>
      <c r="BF140" s="164"/>
      <c r="BG140" s="164"/>
      <c r="BH140" s="164"/>
      <c r="BI140" s="164"/>
    </row>
    <row r="141" ht="15.75" customHeight="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  <c r="AE141" s="164"/>
      <c r="AF141" s="164"/>
      <c r="AG141" s="164"/>
      <c r="AH141" s="164"/>
      <c r="AI141" s="164"/>
      <c r="AJ141" s="164"/>
      <c r="AK141" s="164"/>
      <c r="AL141" s="164"/>
      <c r="AM141" s="164"/>
      <c r="AN141" s="164"/>
      <c r="AO141" s="164"/>
      <c r="AP141" s="164"/>
      <c r="AQ141" s="164"/>
      <c r="AR141" s="164"/>
      <c r="AS141" s="164"/>
      <c r="AT141" s="164"/>
      <c r="AU141" s="164"/>
      <c r="AV141" s="164"/>
      <c r="AW141" s="164"/>
      <c r="AX141" s="164"/>
      <c r="AY141" s="164"/>
      <c r="AZ141" s="164"/>
      <c r="BA141" s="164"/>
      <c r="BB141" s="164"/>
      <c r="BC141" s="164"/>
      <c r="BD141" s="164"/>
      <c r="BE141" s="164"/>
      <c r="BF141" s="164"/>
      <c r="BG141" s="164"/>
      <c r="BH141" s="164"/>
      <c r="BI141" s="164"/>
    </row>
    <row r="142" ht="15.75" customHeight="1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  <c r="AE142" s="164"/>
      <c r="AF142" s="164"/>
      <c r="AG142" s="164"/>
      <c r="AH142" s="164"/>
      <c r="AI142" s="164"/>
      <c r="AJ142" s="164"/>
      <c r="AK142" s="164"/>
      <c r="AL142" s="164"/>
      <c r="AM142" s="164"/>
      <c r="AN142" s="164"/>
      <c r="AO142" s="164"/>
      <c r="AP142" s="164"/>
      <c r="AQ142" s="164"/>
      <c r="AR142" s="164"/>
      <c r="AS142" s="164"/>
      <c r="AT142" s="164"/>
      <c r="AU142" s="164"/>
      <c r="AV142" s="164"/>
      <c r="AW142" s="164"/>
      <c r="AX142" s="164"/>
      <c r="AY142" s="164"/>
      <c r="AZ142" s="164"/>
      <c r="BA142" s="164"/>
      <c r="BB142" s="164"/>
      <c r="BC142" s="164"/>
      <c r="BD142" s="164"/>
      <c r="BE142" s="164"/>
      <c r="BF142" s="164"/>
      <c r="BG142" s="164"/>
      <c r="BH142" s="164"/>
      <c r="BI142" s="164"/>
    </row>
    <row r="143" ht="15.75" customHeight="1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  <c r="AE143" s="164"/>
      <c r="AF143" s="164"/>
      <c r="AG143" s="164"/>
      <c r="AH143" s="164"/>
      <c r="AI143" s="164"/>
      <c r="AJ143" s="164"/>
      <c r="AK143" s="164"/>
      <c r="AL143" s="164"/>
      <c r="AM143" s="164"/>
      <c r="AN143" s="164"/>
      <c r="AO143" s="164"/>
      <c r="AP143" s="164"/>
      <c r="AQ143" s="164"/>
      <c r="AR143" s="164"/>
      <c r="AS143" s="164"/>
      <c r="AT143" s="164"/>
      <c r="AU143" s="164"/>
      <c r="AV143" s="164"/>
      <c r="AW143" s="164"/>
      <c r="AX143" s="164"/>
      <c r="AY143" s="164"/>
      <c r="AZ143" s="164"/>
      <c r="BA143" s="164"/>
      <c r="BB143" s="164"/>
      <c r="BC143" s="164"/>
      <c r="BD143" s="164"/>
      <c r="BE143" s="164"/>
      <c r="BF143" s="164"/>
      <c r="BG143" s="164"/>
      <c r="BH143" s="164"/>
      <c r="BI143" s="164"/>
    </row>
    <row r="144" ht="15.75" customHeight="1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  <c r="AD144" s="164"/>
      <c r="AE144" s="164"/>
      <c r="AF144" s="164"/>
      <c r="AG144" s="164"/>
      <c r="AH144" s="164"/>
      <c r="AI144" s="164"/>
      <c r="AJ144" s="164"/>
      <c r="AK144" s="164"/>
      <c r="AL144" s="164"/>
      <c r="AM144" s="164"/>
      <c r="AN144" s="164"/>
      <c r="AO144" s="164"/>
      <c r="AP144" s="164"/>
      <c r="AQ144" s="164"/>
      <c r="AR144" s="164"/>
      <c r="AS144" s="164"/>
      <c r="AT144" s="164"/>
      <c r="AU144" s="164"/>
      <c r="AV144" s="164"/>
      <c r="AW144" s="164"/>
      <c r="AX144" s="164"/>
      <c r="AY144" s="164"/>
      <c r="AZ144" s="164"/>
      <c r="BA144" s="164"/>
      <c r="BB144" s="164"/>
      <c r="BC144" s="164"/>
      <c r="BD144" s="164"/>
      <c r="BE144" s="164"/>
      <c r="BF144" s="164"/>
      <c r="BG144" s="164"/>
      <c r="BH144" s="164"/>
      <c r="BI144" s="164"/>
    </row>
    <row r="145" ht="15.75" customHeight="1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  <c r="AH145" s="164"/>
      <c r="AI145" s="164"/>
      <c r="AJ145" s="164"/>
      <c r="AK145" s="164"/>
      <c r="AL145" s="164"/>
      <c r="AM145" s="164"/>
      <c r="AN145" s="164"/>
      <c r="AO145" s="164"/>
      <c r="AP145" s="164"/>
      <c r="AQ145" s="164"/>
      <c r="AR145" s="164"/>
      <c r="AS145" s="164"/>
      <c r="AT145" s="164"/>
      <c r="AU145" s="164"/>
      <c r="AV145" s="164"/>
      <c r="AW145" s="164"/>
      <c r="AX145" s="164"/>
      <c r="AY145" s="164"/>
      <c r="AZ145" s="164"/>
      <c r="BA145" s="164"/>
      <c r="BB145" s="164"/>
      <c r="BC145" s="164"/>
      <c r="BD145" s="164"/>
      <c r="BE145" s="164"/>
      <c r="BF145" s="164"/>
      <c r="BG145" s="164"/>
      <c r="BH145" s="164"/>
      <c r="BI145" s="164"/>
    </row>
    <row r="146" ht="15.75" customHeight="1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  <c r="AH146" s="164"/>
      <c r="AI146" s="164"/>
      <c r="AJ146" s="164"/>
      <c r="AK146" s="164"/>
      <c r="AL146" s="164"/>
      <c r="AM146" s="164"/>
      <c r="AN146" s="164"/>
      <c r="AO146" s="164"/>
      <c r="AP146" s="164"/>
      <c r="AQ146" s="164"/>
      <c r="AR146" s="164"/>
      <c r="AS146" s="164"/>
      <c r="AT146" s="164"/>
      <c r="AU146" s="164"/>
      <c r="AV146" s="164"/>
      <c r="AW146" s="164"/>
      <c r="AX146" s="164"/>
      <c r="AY146" s="164"/>
      <c r="AZ146" s="164"/>
      <c r="BA146" s="164"/>
      <c r="BB146" s="164"/>
      <c r="BC146" s="164"/>
      <c r="BD146" s="164"/>
      <c r="BE146" s="164"/>
      <c r="BF146" s="164"/>
      <c r="BG146" s="164"/>
      <c r="BH146" s="164"/>
      <c r="BI146" s="164"/>
    </row>
    <row r="147" ht="15.75" customHeight="1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  <c r="AD147" s="164"/>
      <c r="AE147" s="164"/>
      <c r="AF147" s="164"/>
      <c r="AG147" s="164"/>
      <c r="AH147" s="164"/>
      <c r="AI147" s="164"/>
      <c r="AJ147" s="164"/>
      <c r="AK147" s="164"/>
      <c r="AL147" s="164"/>
      <c r="AM147" s="164"/>
      <c r="AN147" s="164"/>
      <c r="AO147" s="164"/>
      <c r="AP147" s="164"/>
      <c r="AQ147" s="164"/>
      <c r="AR147" s="164"/>
      <c r="AS147" s="164"/>
      <c r="AT147" s="164"/>
      <c r="AU147" s="164"/>
      <c r="AV147" s="164"/>
      <c r="AW147" s="164"/>
      <c r="AX147" s="164"/>
      <c r="AY147" s="164"/>
      <c r="AZ147" s="164"/>
      <c r="BA147" s="164"/>
      <c r="BB147" s="164"/>
      <c r="BC147" s="164"/>
      <c r="BD147" s="164"/>
      <c r="BE147" s="164"/>
      <c r="BF147" s="164"/>
      <c r="BG147" s="164"/>
      <c r="BH147" s="164"/>
      <c r="BI147" s="164"/>
    </row>
    <row r="148" ht="15.75" customHeight="1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  <c r="AD148" s="164"/>
      <c r="AE148" s="164"/>
      <c r="AF148" s="164"/>
      <c r="AG148" s="164"/>
      <c r="AH148" s="164"/>
      <c r="AI148" s="164"/>
      <c r="AJ148" s="164"/>
      <c r="AK148" s="164"/>
      <c r="AL148" s="164"/>
      <c r="AM148" s="164"/>
      <c r="AN148" s="164"/>
      <c r="AO148" s="164"/>
      <c r="AP148" s="164"/>
      <c r="AQ148" s="164"/>
      <c r="AR148" s="164"/>
      <c r="AS148" s="164"/>
      <c r="AT148" s="164"/>
      <c r="AU148" s="164"/>
      <c r="AV148" s="164"/>
      <c r="AW148" s="164"/>
      <c r="AX148" s="164"/>
      <c r="AY148" s="164"/>
      <c r="AZ148" s="164"/>
      <c r="BA148" s="164"/>
      <c r="BB148" s="164"/>
      <c r="BC148" s="164"/>
      <c r="BD148" s="164"/>
      <c r="BE148" s="164"/>
      <c r="BF148" s="164"/>
      <c r="BG148" s="164"/>
      <c r="BH148" s="164"/>
      <c r="BI148" s="164"/>
    </row>
    <row r="149" ht="15.75" customHeight="1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  <c r="AD149" s="164"/>
      <c r="AE149" s="164"/>
      <c r="AF149" s="164"/>
      <c r="AG149" s="164"/>
      <c r="AH149" s="164"/>
      <c r="AI149" s="164"/>
      <c r="AJ149" s="164"/>
      <c r="AK149" s="164"/>
      <c r="AL149" s="164"/>
      <c r="AM149" s="164"/>
      <c r="AN149" s="164"/>
      <c r="AO149" s="164"/>
      <c r="AP149" s="164"/>
      <c r="AQ149" s="164"/>
      <c r="AR149" s="164"/>
      <c r="AS149" s="164"/>
      <c r="AT149" s="164"/>
      <c r="AU149" s="164"/>
      <c r="AV149" s="164"/>
      <c r="AW149" s="164"/>
      <c r="AX149" s="164"/>
      <c r="AY149" s="164"/>
      <c r="AZ149" s="164"/>
      <c r="BA149" s="164"/>
      <c r="BB149" s="164"/>
      <c r="BC149" s="164"/>
      <c r="BD149" s="164"/>
      <c r="BE149" s="164"/>
      <c r="BF149" s="164"/>
      <c r="BG149" s="164"/>
      <c r="BH149" s="164"/>
      <c r="BI149" s="164"/>
    </row>
    <row r="150" ht="15.75" customHeight="1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  <c r="AD150" s="164"/>
      <c r="AE150" s="164"/>
      <c r="AF150" s="164"/>
      <c r="AG150" s="164"/>
      <c r="AH150" s="164"/>
      <c r="AI150" s="164"/>
      <c r="AJ150" s="164"/>
      <c r="AK150" s="164"/>
      <c r="AL150" s="164"/>
      <c r="AM150" s="164"/>
      <c r="AN150" s="164"/>
      <c r="AO150" s="164"/>
      <c r="AP150" s="164"/>
      <c r="AQ150" s="164"/>
      <c r="AR150" s="164"/>
      <c r="AS150" s="164"/>
      <c r="AT150" s="164"/>
      <c r="AU150" s="164"/>
      <c r="AV150" s="164"/>
      <c r="AW150" s="164"/>
      <c r="AX150" s="164"/>
      <c r="AY150" s="164"/>
      <c r="AZ150" s="164"/>
      <c r="BA150" s="164"/>
      <c r="BB150" s="164"/>
      <c r="BC150" s="164"/>
      <c r="BD150" s="164"/>
      <c r="BE150" s="164"/>
      <c r="BF150" s="164"/>
      <c r="BG150" s="164"/>
      <c r="BH150" s="164"/>
      <c r="BI150" s="164"/>
    </row>
    <row r="151" ht="15.75" customHeight="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  <c r="AD151" s="164"/>
      <c r="AE151" s="164"/>
      <c r="AF151" s="164"/>
      <c r="AG151" s="164"/>
      <c r="AH151" s="164"/>
      <c r="AI151" s="164"/>
      <c r="AJ151" s="164"/>
      <c r="AK151" s="164"/>
      <c r="AL151" s="164"/>
      <c r="AM151" s="164"/>
      <c r="AN151" s="164"/>
      <c r="AO151" s="164"/>
      <c r="AP151" s="164"/>
      <c r="AQ151" s="164"/>
      <c r="AR151" s="164"/>
      <c r="AS151" s="164"/>
      <c r="AT151" s="164"/>
      <c r="AU151" s="164"/>
      <c r="AV151" s="164"/>
      <c r="AW151" s="164"/>
      <c r="AX151" s="164"/>
      <c r="AY151" s="164"/>
      <c r="AZ151" s="164"/>
      <c r="BA151" s="164"/>
      <c r="BB151" s="164"/>
      <c r="BC151" s="164"/>
      <c r="BD151" s="164"/>
      <c r="BE151" s="164"/>
      <c r="BF151" s="164"/>
      <c r="BG151" s="164"/>
      <c r="BH151" s="164"/>
      <c r="BI151" s="164"/>
    </row>
    <row r="152" ht="15.75" customHeight="1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4"/>
      <c r="AG152" s="164"/>
      <c r="AH152" s="164"/>
      <c r="AI152" s="164"/>
      <c r="AJ152" s="164"/>
      <c r="AK152" s="164"/>
      <c r="AL152" s="164"/>
      <c r="AM152" s="164"/>
      <c r="AN152" s="164"/>
      <c r="AO152" s="164"/>
      <c r="AP152" s="164"/>
      <c r="AQ152" s="164"/>
      <c r="AR152" s="164"/>
      <c r="AS152" s="164"/>
      <c r="AT152" s="164"/>
      <c r="AU152" s="164"/>
      <c r="AV152" s="164"/>
      <c r="AW152" s="164"/>
      <c r="AX152" s="164"/>
      <c r="AY152" s="164"/>
      <c r="AZ152" s="164"/>
      <c r="BA152" s="164"/>
      <c r="BB152" s="164"/>
      <c r="BC152" s="164"/>
      <c r="BD152" s="164"/>
      <c r="BE152" s="164"/>
      <c r="BF152" s="164"/>
      <c r="BG152" s="164"/>
      <c r="BH152" s="164"/>
      <c r="BI152" s="164"/>
    </row>
    <row r="153" ht="15.75" customHeight="1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  <c r="AD153" s="164"/>
      <c r="AE153" s="164"/>
      <c r="AF153" s="164"/>
      <c r="AG153" s="164"/>
      <c r="AH153" s="164"/>
      <c r="AI153" s="164"/>
      <c r="AJ153" s="164"/>
      <c r="AK153" s="164"/>
      <c r="AL153" s="164"/>
      <c r="AM153" s="164"/>
      <c r="AN153" s="164"/>
      <c r="AO153" s="164"/>
      <c r="AP153" s="164"/>
      <c r="AQ153" s="164"/>
      <c r="AR153" s="164"/>
      <c r="AS153" s="164"/>
      <c r="AT153" s="164"/>
      <c r="AU153" s="164"/>
      <c r="AV153" s="164"/>
      <c r="AW153" s="164"/>
      <c r="AX153" s="164"/>
      <c r="AY153" s="164"/>
      <c r="AZ153" s="164"/>
      <c r="BA153" s="164"/>
      <c r="BB153" s="164"/>
      <c r="BC153" s="164"/>
      <c r="BD153" s="164"/>
      <c r="BE153" s="164"/>
      <c r="BF153" s="164"/>
      <c r="BG153" s="164"/>
      <c r="BH153" s="164"/>
      <c r="BI153" s="164"/>
    </row>
    <row r="154" ht="15.75" customHeight="1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  <c r="AD154" s="164"/>
      <c r="AE154" s="164"/>
      <c r="AF154" s="164"/>
      <c r="AG154" s="164"/>
      <c r="AH154" s="164"/>
      <c r="AI154" s="164"/>
      <c r="AJ154" s="164"/>
      <c r="AK154" s="164"/>
      <c r="AL154" s="164"/>
      <c r="AM154" s="164"/>
      <c r="AN154" s="164"/>
      <c r="AO154" s="164"/>
      <c r="AP154" s="164"/>
      <c r="AQ154" s="164"/>
      <c r="AR154" s="164"/>
      <c r="AS154" s="164"/>
      <c r="AT154" s="164"/>
      <c r="AU154" s="164"/>
      <c r="AV154" s="164"/>
      <c r="AW154" s="164"/>
      <c r="AX154" s="164"/>
      <c r="AY154" s="164"/>
      <c r="AZ154" s="164"/>
      <c r="BA154" s="164"/>
      <c r="BB154" s="164"/>
      <c r="BC154" s="164"/>
      <c r="BD154" s="164"/>
      <c r="BE154" s="164"/>
      <c r="BF154" s="164"/>
      <c r="BG154" s="164"/>
      <c r="BH154" s="164"/>
      <c r="BI154" s="164"/>
    </row>
    <row r="155" ht="15.75" customHeight="1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  <c r="AD155" s="164"/>
      <c r="AE155" s="164"/>
      <c r="AF155" s="164"/>
      <c r="AG155" s="164"/>
      <c r="AH155" s="164"/>
      <c r="AI155" s="164"/>
      <c r="AJ155" s="164"/>
      <c r="AK155" s="164"/>
      <c r="AL155" s="164"/>
      <c r="AM155" s="164"/>
      <c r="AN155" s="164"/>
      <c r="AO155" s="164"/>
      <c r="AP155" s="164"/>
      <c r="AQ155" s="164"/>
      <c r="AR155" s="164"/>
      <c r="AS155" s="164"/>
      <c r="AT155" s="164"/>
      <c r="AU155" s="164"/>
      <c r="AV155" s="164"/>
      <c r="AW155" s="164"/>
      <c r="AX155" s="164"/>
      <c r="AY155" s="164"/>
      <c r="AZ155" s="164"/>
      <c r="BA155" s="164"/>
      <c r="BB155" s="164"/>
      <c r="BC155" s="164"/>
      <c r="BD155" s="164"/>
      <c r="BE155" s="164"/>
      <c r="BF155" s="164"/>
      <c r="BG155" s="164"/>
      <c r="BH155" s="164"/>
      <c r="BI155" s="164"/>
    </row>
    <row r="156" ht="15.75" customHeight="1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  <c r="AD156" s="164"/>
      <c r="AE156" s="164"/>
      <c r="AF156" s="164"/>
      <c r="AG156" s="164"/>
      <c r="AH156" s="164"/>
      <c r="AI156" s="164"/>
      <c r="AJ156" s="164"/>
      <c r="AK156" s="164"/>
      <c r="AL156" s="164"/>
      <c r="AM156" s="164"/>
      <c r="AN156" s="164"/>
      <c r="AO156" s="164"/>
      <c r="AP156" s="164"/>
      <c r="AQ156" s="164"/>
      <c r="AR156" s="164"/>
      <c r="AS156" s="164"/>
      <c r="AT156" s="164"/>
      <c r="AU156" s="164"/>
      <c r="AV156" s="164"/>
      <c r="AW156" s="164"/>
      <c r="AX156" s="164"/>
      <c r="AY156" s="164"/>
      <c r="AZ156" s="164"/>
      <c r="BA156" s="164"/>
      <c r="BB156" s="164"/>
      <c r="BC156" s="164"/>
      <c r="BD156" s="164"/>
      <c r="BE156" s="164"/>
      <c r="BF156" s="164"/>
      <c r="BG156" s="164"/>
      <c r="BH156" s="164"/>
      <c r="BI156" s="164"/>
    </row>
    <row r="157" ht="15.75" customHeight="1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  <c r="AD157" s="164"/>
      <c r="AE157" s="164"/>
      <c r="AF157" s="164"/>
      <c r="AG157" s="164"/>
      <c r="AH157" s="164"/>
      <c r="AI157" s="164"/>
      <c r="AJ157" s="164"/>
      <c r="AK157" s="164"/>
      <c r="AL157" s="164"/>
      <c r="AM157" s="164"/>
      <c r="AN157" s="164"/>
      <c r="AO157" s="164"/>
      <c r="AP157" s="164"/>
      <c r="AQ157" s="164"/>
      <c r="AR157" s="164"/>
      <c r="AS157" s="164"/>
      <c r="AT157" s="164"/>
      <c r="AU157" s="164"/>
      <c r="AV157" s="164"/>
      <c r="AW157" s="164"/>
      <c r="AX157" s="164"/>
      <c r="AY157" s="164"/>
      <c r="AZ157" s="164"/>
      <c r="BA157" s="164"/>
      <c r="BB157" s="164"/>
      <c r="BC157" s="164"/>
      <c r="BD157" s="164"/>
      <c r="BE157" s="164"/>
      <c r="BF157" s="164"/>
      <c r="BG157" s="164"/>
      <c r="BH157" s="164"/>
      <c r="BI157" s="164"/>
    </row>
    <row r="158" ht="15.75" customHeight="1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  <c r="AD158" s="164"/>
      <c r="AE158" s="164"/>
      <c r="AF158" s="164"/>
      <c r="AG158" s="164"/>
      <c r="AH158" s="164"/>
      <c r="AI158" s="164"/>
      <c r="AJ158" s="164"/>
      <c r="AK158" s="164"/>
      <c r="AL158" s="164"/>
      <c r="AM158" s="164"/>
      <c r="AN158" s="164"/>
      <c r="AO158" s="164"/>
      <c r="AP158" s="164"/>
      <c r="AQ158" s="164"/>
      <c r="AR158" s="164"/>
      <c r="AS158" s="164"/>
      <c r="AT158" s="164"/>
      <c r="AU158" s="164"/>
      <c r="AV158" s="164"/>
      <c r="AW158" s="164"/>
      <c r="AX158" s="164"/>
      <c r="AY158" s="164"/>
      <c r="AZ158" s="164"/>
      <c r="BA158" s="164"/>
      <c r="BB158" s="164"/>
      <c r="BC158" s="164"/>
      <c r="BD158" s="164"/>
      <c r="BE158" s="164"/>
      <c r="BF158" s="164"/>
      <c r="BG158" s="164"/>
      <c r="BH158" s="164"/>
      <c r="BI158" s="164"/>
    </row>
    <row r="159" ht="15.75" customHeight="1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  <c r="AD159" s="164"/>
      <c r="AE159" s="164"/>
      <c r="AF159" s="164"/>
      <c r="AG159" s="164"/>
      <c r="AH159" s="164"/>
      <c r="AI159" s="164"/>
      <c r="AJ159" s="164"/>
      <c r="AK159" s="164"/>
      <c r="AL159" s="164"/>
      <c r="AM159" s="164"/>
      <c r="AN159" s="164"/>
      <c r="AO159" s="164"/>
      <c r="AP159" s="164"/>
      <c r="AQ159" s="164"/>
      <c r="AR159" s="164"/>
      <c r="AS159" s="164"/>
      <c r="AT159" s="164"/>
      <c r="AU159" s="164"/>
      <c r="AV159" s="164"/>
      <c r="AW159" s="164"/>
      <c r="AX159" s="164"/>
      <c r="AY159" s="164"/>
      <c r="AZ159" s="164"/>
      <c r="BA159" s="164"/>
      <c r="BB159" s="164"/>
      <c r="BC159" s="164"/>
      <c r="BD159" s="164"/>
      <c r="BE159" s="164"/>
      <c r="BF159" s="164"/>
      <c r="BG159" s="164"/>
      <c r="BH159" s="164"/>
      <c r="BI159" s="164"/>
    </row>
    <row r="160" ht="15.75" customHeight="1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  <c r="AD160" s="164"/>
      <c r="AE160" s="164"/>
      <c r="AF160" s="164"/>
      <c r="AG160" s="164"/>
      <c r="AH160" s="164"/>
      <c r="AI160" s="164"/>
      <c r="AJ160" s="164"/>
      <c r="AK160" s="164"/>
      <c r="AL160" s="164"/>
      <c r="AM160" s="164"/>
      <c r="AN160" s="164"/>
      <c r="AO160" s="164"/>
      <c r="AP160" s="164"/>
      <c r="AQ160" s="164"/>
      <c r="AR160" s="164"/>
      <c r="AS160" s="164"/>
      <c r="AT160" s="164"/>
      <c r="AU160" s="164"/>
      <c r="AV160" s="164"/>
      <c r="AW160" s="164"/>
      <c r="AX160" s="164"/>
      <c r="AY160" s="164"/>
      <c r="AZ160" s="164"/>
      <c r="BA160" s="164"/>
      <c r="BB160" s="164"/>
      <c r="BC160" s="164"/>
      <c r="BD160" s="164"/>
      <c r="BE160" s="164"/>
      <c r="BF160" s="164"/>
      <c r="BG160" s="164"/>
      <c r="BH160" s="164"/>
      <c r="BI160" s="164"/>
    </row>
    <row r="161" ht="15.75" customHeight="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  <c r="AD161" s="164"/>
      <c r="AE161" s="164"/>
      <c r="AF161" s="164"/>
      <c r="AG161" s="164"/>
      <c r="AH161" s="164"/>
      <c r="AI161" s="164"/>
      <c r="AJ161" s="164"/>
      <c r="AK161" s="164"/>
      <c r="AL161" s="164"/>
      <c r="AM161" s="164"/>
      <c r="AN161" s="164"/>
      <c r="AO161" s="164"/>
      <c r="AP161" s="164"/>
      <c r="AQ161" s="164"/>
      <c r="AR161" s="164"/>
      <c r="AS161" s="164"/>
      <c r="AT161" s="164"/>
      <c r="AU161" s="164"/>
      <c r="AV161" s="164"/>
      <c r="AW161" s="164"/>
      <c r="AX161" s="164"/>
      <c r="AY161" s="164"/>
      <c r="AZ161" s="164"/>
      <c r="BA161" s="164"/>
      <c r="BB161" s="164"/>
      <c r="BC161" s="164"/>
      <c r="BD161" s="164"/>
      <c r="BE161" s="164"/>
      <c r="BF161" s="164"/>
      <c r="BG161" s="164"/>
      <c r="BH161" s="164"/>
      <c r="BI161" s="164"/>
    </row>
    <row r="162" ht="15.75" customHeight="1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  <c r="AD162" s="164"/>
      <c r="AE162" s="164"/>
      <c r="AF162" s="164"/>
      <c r="AG162" s="164"/>
      <c r="AH162" s="164"/>
      <c r="AI162" s="164"/>
      <c r="AJ162" s="164"/>
      <c r="AK162" s="164"/>
      <c r="AL162" s="164"/>
      <c r="AM162" s="164"/>
      <c r="AN162" s="164"/>
      <c r="AO162" s="164"/>
      <c r="AP162" s="164"/>
      <c r="AQ162" s="164"/>
      <c r="AR162" s="164"/>
      <c r="AS162" s="164"/>
      <c r="AT162" s="164"/>
      <c r="AU162" s="164"/>
      <c r="AV162" s="164"/>
      <c r="AW162" s="164"/>
      <c r="AX162" s="164"/>
      <c r="AY162" s="164"/>
      <c r="AZ162" s="164"/>
      <c r="BA162" s="164"/>
      <c r="BB162" s="164"/>
      <c r="BC162" s="164"/>
      <c r="BD162" s="164"/>
      <c r="BE162" s="164"/>
      <c r="BF162" s="164"/>
      <c r="BG162" s="164"/>
      <c r="BH162" s="164"/>
      <c r="BI162" s="164"/>
    </row>
    <row r="163" ht="15.75" customHeight="1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  <c r="AE163" s="164"/>
      <c r="AF163" s="164"/>
      <c r="AG163" s="164"/>
      <c r="AH163" s="164"/>
      <c r="AI163" s="164"/>
      <c r="AJ163" s="164"/>
      <c r="AK163" s="164"/>
      <c r="AL163" s="164"/>
      <c r="AM163" s="164"/>
      <c r="AN163" s="164"/>
      <c r="AO163" s="164"/>
      <c r="AP163" s="164"/>
      <c r="AQ163" s="164"/>
      <c r="AR163" s="164"/>
      <c r="AS163" s="164"/>
      <c r="AT163" s="164"/>
      <c r="AU163" s="164"/>
      <c r="AV163" s="164"/>
      <c r="AW163" s="164"/>
      <c r="AX163" s="164"/>
      <c r="AY163" s="164"/>
      <c r="AZ163" s="164"/>
      <c r="BA163" s="164"/>
      <c r="BB163" s="164"/>
      <c r="BC163" s="164"/>
      <c r="BD163" s="164"/>
      <c r="BE163" s="164"/>
      <c r="BF163" s="164"/>
      <c r="BG163" s="164"/>
      <c r="BH163" s="164"/>
      <c r="BI163" s="164"/>
    </row>
    <row r="164" ht="15.75" customHeight="1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  <c r="AD164" s="164"/>
      <c r="AE164" s="164"/>
      <c r="AF164" s="164"/>
      <c r="AG164" s="164"/>
      <c r="AH164" s="164"/>
      <c r="AI164" s="164"/>
      <c r="AJ164" s="164"/>
      <c r="AK164" s="164"/>
      <c r="AL164" s="164"/>
      <c r="AM164" s="164"/>
      <c r="AN164" s="164"/>
      <c r="AO164" s="164"/>
      <c r="AP164" s="164"/>
      <c r="AQ164" s="164"/>
      <c r="AR164" s="164"/>
      <c r="AS164" s="164"/>
      <c r="AT164" s="164"/>
      <c r="AU164" s="164"/>
      <c r="AV164" s="164"/>
      <c r="AW164" s="164"/>
      <c r="AX164" s="164"/>
      <c r="AY164" s="164"/>
      <c r="AZ164" s="164"/>
      <c r="BA164" s="164"/>
      <c r="BB164" s="164"/>
      <c r="BC164" s="164"/>
      <c r="BD164" s="164"/>
      <c r="BE164" s="164"/>
      <c r="BF164" s="164"/>
      <c r="BG164" s="164"/>
      <c r="BH164" s="164"/>
      <c r="BI164" s="164"/>
    </row>
    <row r="165" ht="15.75" customHeight="1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  <c r="AD165" s="164"/>
      <c r="AE165" s="164"/>
      <c r="AF165" s="164"/>
      <c r="AG165" s="164"/>
      <c r="AH165" s="164"/>
      <c r="AI165" s="164"/>
      <c r="AJ165" s="164"/>
      <c r="AK165" s="164"/>
      <c r="AL165" s="164"/>
      <c r="AM165" s="164"/>
      <c r="AN165" s="164"/>
      <c r="AO165" s="164"/>
      <c r="AP165" s="164"/>
      <c r="AQ165" s="164"/>
      <c r="AR165" s="164"/>
      <c r="AS165" s="164"/>
      <c r="AT165" s="164"/>
      <c r="AU165" s="164"/>
      <c r="AV165" s="164"/>
      <c r="AW165" s="164"/>
      <c r="AX165" s="164"/>
      <c r="AY165" s="164"/>
      <c r="AZ165" s="164"/>
      <c r="BA165" s="164"/>
      <c r="BB165" s="164"/>
      <c r="BC165" s="164"/>
      <c r="BD165" s="164"/>
      <c r="BE165" s="164"/>
      <c r="BF165" s="164"/>
      <c r="BG165" s="164"/>
      <c r="BH165" s="164"/>
      <c r="BI165" s="164"/>
    </row>
    <row r="166" ht="15.75" customHeight="1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  <c r="AD166" s="164"/>
      <c r="AE166" s="164"/>
      <c r="AF166" s="164"/>
      <c r="AG166" s="164"/>
      <c r="AH166" s="164"/>
      <c r="AI166" s="164"/>
      <c r="AJ166" s="164"/>
      <c r="AK166" s="164"/>
      <c r="AL166" s="164"/>
      <c r="AM166" s="164"/>
      <c r="AN166" s="164"/>
      <c r="AO166" s="164"/>
      <c r="AP166" s="164"/>
      <c r="AQ166" s="164"/>
      <c r="AR166" s="164"/>
      <c r="AS166" s="164"/>
      <c r="AT166" s="164"/>
      <c r="AU166" s="164"/>
      <c r="AV166" s="164"/>
      <c r="AW166" s="164"/>
      <c r="AX166" s="164"/>
      <c r="AY166" s="164"/>
      <c r="AZ166" s="164"/>
      <c r="BA166" s="164"/>
      <c r="BB166" s="164"/>
      <c r="BC166" s="164"/>
      <c r="BD166" s="164"/>
      <c r="BE166" s="164"/>
      <c r="BF166" s="164"/>
      <c r="BG166" s="164"/>
      <c r="BH166" s="164"/>
      <c r="BI166" s="164"/>
    </row>
    <row r="167" ht="15.75" customHeight="1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64"/>
      <c r="AJ167" s="164"/>
      <c r="AK167" s="164"/>
      <c r="AL167" s="164"/>
      <c r="AM167" s="164"/>
      <c r="AN167" s="164"/>
      <c r="AO167" s="164"/>
      <c r="AP167" s="164"/>
      <c r="AQ167" s="164"/>
      <c r="AR167" s="164"/>
      <c r="AS167" s="164"/>
      <c r="AT167" s="164"/>
      <c r="AU167" s="164"/>
      <c r="AV167" s="164"/>
      <c r="AW167" s="164"/>
      <c r="AX167" s="164"/>
      <c r="AY167" s="164"/>
      <c r="AZ167" s="164"/>
      <c r="BA167" s="164"/>
      <c r="BB167" s="164"/>
      <c r="BC167" s="164"/>
      <c r="BD167" s="164"/>
      <c r="BE167" s="164"/>
      <c r="BF167" s="164"/>
      <c r="BG167" s="164"/>
      <c r="BH167" s="164"/>
      <c r="BI167" s="164"/>
    </row>
    <row r="168" ht="15.75" customHeight="1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  <c r="AG168" s="164"/>
      <c r="AH168" s="164"/>
      <c r="AI168" s="164"/>
      <c r="AJ168" s="164"/>
      <c r="AK168" s="164"/>
      <c r="AL168" s="164"/>
      <c r="AM168" s="164"/>
      <c r="AN168" s="164"/>
      <c r="AO168" s="164"/>
      <c r="AP168" s="164"/>
      <c r="AQ168" s="164"/>
      <c r="AR168" s="164"/>
      <c r="AS168" s="164"/>
      <c r="AT168" s="164"/>
      <c r="AU168" s="164"/>
      <c r="AV168" s="164"/>
      <c r="AW168" s="164"/>
      <c r="AX168" s="164"/>
      <c r="AY168" s="164"/>
      <c r="AZ168" s="164"/>
      <c r="BA168" s="164"/>
      <c r="BB168" s="164"/>
      <c r="BC168" s="164"/>
      <c r="BD168" s="164"/>
      <c r="BE168" s="164"/>
      <c r="BF168" s="164"/>
      <c r="BG168" s="164"/>
      <c r="BH168" s="164"/>
      <c r="BI168" s="164"/>
    </row>
    <row r="169" ht="15.75" customHeight="1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  <c r="AD169" s="164"/>
      <c r="AE169" s="164"/>
      <c r="AF169" s="164"/>
      <c r="AG169" s="164"/>
      <c r="AH169" s="164"/>
      <c r="AI169" s="164"/>
      <c r="AJ169" s="164"/>
      <c r="AK169" s="164"/>
      <c r="AL169" s="164"/>
      <c r="AM169" s="164"/>
      <c r="AN169" s="164"/>
      <c r="AO169" s="164"/>
      <c r="AP169" s="164"/>
      <c r="AQ169" s="164"/>
      <c r="AR169" s="164"/>
      <c r="AS169" s="164"/>
      <c r="AT169" s="164"/>
      <c r="AU169" s="164"/>
      <c r="AV169" s="164"/>
      <c r="AW169" s="164"/>
      <c r="AX169" s="164"/>
      <c r="AY169" s="164"/>
      <c r="AZ169" s="164"/>
      <c r="BA169" s="164"/>
      <c r="BB169" s="164"/>
      <c r="BC169" s="164"/>
      <c r="BD169" s="164"/>
      <c r="BE169" s="164"/>
      <c r="BF169" s="164"/>
      <c r="BG169" s="164"/>
      <c r="BH169" s="164"/>
      <c r="BI169" s="164"/>
    </row>
    <row r="170" ht="15.75" customHeight="1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  <c r="AC170" s="164"/>
      <c r="AD170" s="164"/>
      <c r="AE170" s="164"/>
      <c r="AF170" s="164"/>
      <c r="AG170" s="164"/>
      <c r="AH170" s="164"/>
      <c r="AI170" s="164"/>
      <c r="AJ170" s="164"/>
      <c r="AK170" s="164"/>
      <c r="AL170" s="164"/>
      <c r="AM170" s="164"/>
      <c r="AN170" s="164"/>
      <c r="AO170" s="164"/>
      <c r="AP170" s="164"/>
      <c r="AQ170" s="164"/>
      <c r="AR170" s="164"/>
      <c r="AS170" s="164"/>
      <c r="AT170" s="164"/>
      <c r="AU170" s="164"/>
      <c r="AV170" s="164"/>
      <c r="AW170" s="164"/>
      <c r="AX170" s="164"/>
      <c r="AY170" s="164"/>
      <c r="AZ170" s="164"/>
      <c r="BA170" s="164"/>
      <c r="BB170" s="164"/>
      <c r="BC170" s="164"/>
      <c r="BD170" s="164"/>
      <c r="BE170" s="164"/>
      <c r="BF170" s="164"/>
      <c r="BG170" s="164"/>
      <c r="BH170" s="164"/>
      <c r="BI170" s="164"/>
    </row>
    <row r="171" ht="15.75" customHeight="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  <c r="AD171" s="164"/>
      <c r="AE171" s="164"/>
      <c r="AF171" s="164"/>
      <c r="AG171" s="164"/>
      <c r="AH171" s="164"/>
      <c r="AI171" s="164"/>
      <c r="AJ171" s="164"/>
      <c r="AK171" s="164"/>
      <c r="AL171" s="164"/>
      <c r="AM171" s="164"/>
      <c r="AN171" s="164"/>
      <c r="AO171" s="164"/>
      <c r="AP171" s="164"/>
      <c r="AQ171" s="164"/>
      <c r="AR171" s="164"/>
      <c r="AS171" s="164"/>
      <c r="AT171" s="164"/>
      <c r="AU171" s="164"/>
      <c r="AV171" s="164"/>
      <c r="AW171" s="164"/>
      <c r="AX171" s="164"/>
      <c r="AY171" s="164"/>
      <c r="AZ171" s="164"/>
      <c r="BA171" s="164"/>
      <c r="BB171" s="164"/>
      <c r="BC171" s="164"/>
      <c r="BD171" s="164"/>
      <c r="BE171" s="164"/>
      <c r="BF171" s="164"/>
      <c r="BG171" s="164"/>
      <c r="BH171" s="164"/>
      <c r="BI171" s="164"/>
    </row>
    <row r="172" ht="15.75" customHeight="1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  <c r="AD172" s="164"/>
      <c r="AE172" s="164"/>
      <c r="AF172" s="164"/>
      <c r="AG172" s="164"/>
      <c r="AH172" s="164"/>
      <c r="AI172" s="164"/>
      <c r="AJ172" s="164"/>
      <c r="AK172" s="164"/>
      <c r="AL172" s="164"/>
      <c r="AM172" s="164"/>
      <c r="AN172" s="164"/>
      <c r="AO172" s="164"/>
      <c r="AP172" s="164"/>
      <c r="AQ172" s="164"/>
      <c r="AR172" s="164"/>
      <c r="AS172" s="164"/>
      <c r="AT172" s="164"/>
      <c r="AU172" s="164"/>
      <c r="AV172" s="164"/>
      <c r="AW172" s="164"/>
      <c r="AX172" s="164"/>
      <c r="AY172" s="164"/>
      <c r="AZ172" s="164"/>
      <c r="BA172" s="164"/>
      <c r="BB172" s="164"/>
      <c r="BC172" s="164"/>
      <c r="BD172" s="164"/>
      <c r="BE172" s="164"/>
      <c r="BF172" s="164"/>
      <c r="BG172" s="164"/>
      <c r="BH172" s="164"/>
      <c r="BI172" s="164"/>
    </row>
    <row r="173" ht="15.75" customHeight="1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  <c r="AD173" s="164"/>
      <c r="AE173" s="164"/>
      <c r="AF173" s="164"/>
      <c r="AG173" s="164"/>
      <c r="AH173" s="164"/>
      <c r="AI173" s="164"/>
      <c r="AJ173" s="164"/>
      <c r="AK173" s="164"/>
      <c r="AL173" s="164"/>
      <c r="AM173" s="164"/>
      <c r="AN173" s="164"/>
      <c r="AO173" s="164"/>
      <c r="AP173" s="164"/>
      <c r="AQ173" s="164"/>
      <c r="AR173" s="164"/>
      <c r="AS173" s="164"/>
      <c r="AT173" s="164"/>
      <c r="AU173" s="164"/>
      <c r="AV173" s="164"/>
      <c r="AW173" s="164"/>
      <c r="AX173" s="164"/>
      <c r="AY173" s="164"/>
      <c r="AZ173" s="164"/>
      <c r="BA173" s="164"/>
      <c r="BB173" s="164"/>
      <c r="BC173" s="164"/>
      <c r="BD173" s="164"/>
      <c r="BE173" s="164"/>
      <c r="BF173" s="164"/>
      <c r="BG173" s="164"/>
      <c r="BH173" s="164"/>
      <c r="BI173" s="164"/>
    </row>
    <row r="174" ht="15.75" customHeight="1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  <c r="AD174" s="164"/>
      <c r="AE174" s="164"/>
      <c r="AF174" s="164"/>
      <c r="AG174" s="164"/>
      <c r="AH174" s="164"/>
      <c r="AI174" s="164"/>
      <c r="AJ174" s="164"/>
      <c r="AK174" s="164"/>
      <c r="AL174" s="164"/>
      <c r="AM174" s="164"/>
      <c r="AN174" s="164"/>
      <c r="AO174" s="164"/>
      <c r="AP174" s="164"/>
      <c r="AQ174" s="164"/>
      <c r="AR174" s="164"/>
      <c r="AS174" s="164"/>
      <c r="AT174" s="164"/>
      <c r="AU174" s="164"/>
      <c r="AV174" s="164"/>
      <c r="AW174" s="164"/>
      <c r="AX174" s="164"/>
      <c r="AY174" s="164"/>
      <c r="AZ174" s="164"/>
      <c r="BA174" s="164"/>
      <c r="BB174" s="164"/>
      <c r="BC174" s="164"/>
      <c r="BD174" s="164"/>
      <c r="BE174" s="164"/>
      <c r="BF174" s="164"/>
      <c r="BG174" s="164"/>
      <c r="BH174" s="164"/>
      <c r="BI174" s="164"/>
    </row>
    <row r="175" ht="15.75" customHeight="1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  <c r="AD175" s="164"/>
      <c r="AE175" s="164"/>
      <c r="AF175" s="164"/>
      <c r="AG175" s="164"/>
      <c r="AH175" s="164"/>
      <c r="AI175" s="164"/>
      <c r="AJ175" s="164"/>
      <c r="AK175" s="164"/>
      <c r="AL175" s="164"/>
      <c r="AM175" s="164"/>
      <c r="AN175" s="164"/>
      <c r="AO175" s="164"/>
      <c r="AP175" s="164"/>
      <c r="AQ175" s="164"/>
      <c r="AR175" s="164"/>
      <c r="AS175" s="164"/>
      <c r="AT175" s="164"/>
      <c r="AU175" s="164"/>
      <c r="AV175" s="164"/>
      <c r="AW175" s="164"/>
      <c r="AX175" s="164"/>
      <c r="AY175" s="164"/>
      <c r="AZ175" s="164"/>
      <c r="BA175" s="164"/>
      <c r="BB175" s="164"/>
      <c r="BC175" s="164"/>
      <c r="BD175" s="164"/>
      <c r="BE175" s="164"/>
      <c r="BF175" s="164"/>
      <c r="BG175" s="164"/>
      <c r="BH175" s="164"/>
      <c r="BI175" s="164"/>
    </row>
    <row r="176" ht="15.75" customHeight="1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  <c r="AD176" s="164"/>
      <c r="AE176" s="164"/>
      <c r="AF176" s="164"/>
      <c r="AG176" s="164"/>
      <c r="AH176" s="164"/>
      <c r="AI176" s="164"/>
      <c r="AJ176" s="164"/>
      <c r="AK176" s="164"/>
      <c r="AL176" s="164"/>
      <c r="AM176" s="164"/>
      <c r="AN176" s="164"/>
      <c r="AO176" s="164"/>
      <c r="AP176" s="164"/>
      <c r="AQ176" s="164"/>
      <c r="AR176" s="164"/>
      <c r="AS176" s="164"/>
      <c r="AT176" s="164"/>
      <c r="AU176" s="164"/>
      <c r="AV176" s="164"/>
      <c r="AW176" s="164"/>
      <c r="AX176" s="164"/>
      <c r="AY176" s="164"/>
      <c r="AZ176" s="164"/>
      <c r="BA176" s="164"/>
      <c r="BB176" s="164"/>
      <c r="BC176" s="164"/>
      <c r="BD176" s="164"/>
      <c r="BE176" s="164"/>
      <c r="BF176" s="164"/>
      <c r="BG176" s="164"/>
      <c r="BH176" s="164"/>
      <c r="BI176" s="164"/>
    </row>
    <row r="177" ht="15.75" customHeight="1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  <c r="AD177" s="164"/>
      <c r="AE177" s="164"/>
      <c r="AF177" s="164"/>
      <c r="AG177" s="164"/>
      <c r="AH177" s="164"/>
      <c r="AI177" s="164"/>
      <c r="AJ177" s="164"/>
      <c r="AK177" s="164"/>
      <c r="AL177" s="164"/>
      <c r="AM177" s="164"/>
      <c r="AN177" s="164"/>
      <c r="AO177" s="164"/>
      <c r="AP177" s="164"/>
      <c r="AQ177" s="164"/>
      <c r="AR177" s="164"/>
      <c r="AS177" s="164"/>
      <c r="AT177" s="164"/>
      <c r="AU177" s="164"/>
      <c r="AV177" s="164"/>
      <c r="AW177" s="164"/>
      <c r="AX177" s="164"/>
      <c r="AY177" s="164"/>
      <c r="AZ177" s="164"/>
      <c r="BA177" s="164"/>
      <c r="BB177" s="164"/>
      <c r="BC177" s="164"/>
      <c r="BD177" s="164"/>
      <c r="BE177" s="164"/>
      <c r="BF177" s="164"/>
      <c r="BG177" s="164"/>
      <c r="BH177" s="164"/>
      <c r="BI177" s="164"/>
    </row>
    <row r="178" ht="15.75" customHeight="1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  <c r="AD178" s="164"/>
      <c r="AE178" s="164"/>
      <c r="AF178" s="164"/>
      <c r="AG178" s="164"/>
      <c r="AH178" s="164"/>
      <c r="AI178" s="164"/>
      <c r="AJ178" s="164"/>
      <c r="AK178" s="164"/>
      <c r="AL178" s="164"/>
      <c r="AM178" s="164"/>
      <c r="AN178" s="164"/>
      <c r="AO178" s="164"/>
      <c r="AP178" s="164"/>
      <c r="AQ178" s="164"/>
      <c r="AR178" s="164"/>
      <c r="AS178" s="164"/>
      <c r="AT178" s="164"/>
      <c r="AU178" s="164"/>
      <c r="AV178" s="164"/>
      <c r="AW178" s="164"/>
      <c r="AX178" s="164"/>
      <c r="AY178" s="164"/>
      <c r="AZ178" s="164"/>
      <c r="BA178" s="164"/>
      <c r="BB178" s="164"/>
      <c r="BC178" s="164"/>
      <c r="BD178" s="164"/>
      <c r="BE178" s="164"/>
      <c r="BF178" s="164"/>
      <c r="BG178" s="164"/>
      <c r="BH178" s="164"/>
      <c r="BI178" s="164"/>
    </row>
    <row r="179" ht="15.75" customHeight="1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  <c r="AD179" s="164"/>
      <c r="AE179" s="164"/>
      <c r="AF179" s="164"/>
      <c r="AG179" s="164"/>
      <c r="AH179" s="164"/>
      <c r="AI179" s="164"/>
      <c r="AJ179" s="164"/>
      <c r="AK179" s="164"/>
      <c r="AL179" s="164"/>
      <c r="AM179" s="164"/>
      <c r="AN179" s="164"/>
      <c r="AO179" s="164"/>
      <c r="AP179" s="164"/>
      <c r="AQ179" s="164"/>
      <c r="AR179" s="164"/>
      <c r="AS179" s="164"/>
      <c r="AT179" s="164"/>
      <c r="AU179" s="164"/>
      <c r="AV179" s="164"/>
      <c r="AW179" s="164"/>
      <c r="AX179" s="164"/>
      <c r="AY179" s="164"/>
      <c r="AZ179" s="164"/>
      <c r="BA179" s="164"/>
      <c r="BB179" s="164"/>
      <c r="BC179" s="164"/>
      <c r="BD179" s="164"/>
      <c r="BE179" s="164"/>
      <c r="BF179" s="164"/>
      <c r="BG179" s="164"/>
      <c r="BH179" s="164"/>
      <c r="BI179" s="164"/>
    </row>
    <row r="180" ht="15.75" customHeight="1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  <c r="AD180" s="164"/>
      <c r="AE180" s="164"/>
      <c r="AF180" s="164"/>
      <c r="AG180" s="164"/>
      <c r="AH180" s="164"/>
      <c r="AI180" s="164"/>
      <c r="AJ180" s="164"/>
      <c r="AK180" s="164"/>
      <c r="AL180" s="164"/>
      <c r="AM180" s="164"/>
      <c r="AN180" s="164"/>
      <c r="AO180" s="164"/>
      <c r="AP180" s="164"/>
      <c r="AQ180" s="164"/>
      <c r="AR180" s="164"/>
      <c r="AS180" s="164"/>
      <c r="AT180" s="164"/>
      <c r="AU180" s="164"/>
      <c r="AV180" s="164"/>
      <c r="AW180" s="164"/>
      <c r="AX180" s="164"/>
      <c r="AY180" s="164"/>
      <c r="AZ180" s="164"/>
      <c r="BA180" s="164"/>
      <c r="BB180" s="164"/>
      <c r="BC180" s="164"/>
      <c r="BD180" s="164"/>
      <c r="BE180" s="164"/>
      <c r="BF180" s="164"/>
      <c r="BG180" s="164"/>
      <c r="BH180" s="164"/>
      <c r="BI180" s="164"/>
    </row>
    <row r="181" ht="15.75" customHeight="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  <c r="AD181" s="164"/>
      <c r="AE181" s="164"/>
      <c r="AF181" s="164"/>
      <c r="AG181" s="164"/>
      <c r="AH181" s="164"/>
      <c r="AI181" s="164"/>
      <c r="AJ181" s="164"/>
      <c r="AK181" s="164"/>
      <c r="AL181" s="164"/>
      <c r="AM181" s="164"/>
      <c r="AN181" s="164"/>
      <c r="AO181" s="164"/>
      <c r="AP181" s="164"/>
      <c r="AQ181" s="164"/>
      <c r="AR181" s="164"/>
      <c r="AS181" s="164"/>
      <c r="AT181" s="164"/>
      <c r="AU181" s="164"/>
      <c r="AV181" s="164"/>
      <c r="AW181" s="164"/>
      <c r="AX181" s="164"/>
      <c r="AY181" s="164"/>
      <c r="AZ181" s="164"/>
      <c r="BA181" s="164"/>
      <c r="BB181" s="164"/>
      <c r="BC181" s="164"/>
      <c r="BD181" s="164"/>
      <c r="BE181" s="164"/>
      <c r="BF181" s="164"/>
      <c r="BG181" s="164"/>
      <c r="BH181" s="164"/>
      <c r="BI181" s="164"/>
    </row>
    <row r="182" ht="15.75" customHeight="1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  <c r="AD182" s="164"/>
      <c r="AE182" s="164"/>
      <c r="AF182" s="164"/>
      <c r="AG182" s="164"/>
      <c r="AH182" s="164"/>
      <c r="AI182" s="164"/>
      <c r="AJ182" s="164"/>
      <c r="AK182" s="164"/>
      <c r="AL182" s="164"/>
      <c r="AM182" s="164"/>
      <c r="AN182" s="164"/>
      <c r="AO182" s="164"/>
      <c r="AP182" s="164"/>
      <c r="AQ182" s="164"/>
      <c r="AR182" s="164"/>
      <c r="AS182" s="164"/>
      <c r="AT182" s="164"/>
      <c r="AU182" s="164"/>
      <c r="AV182" s="164"/>
      <c r="AW182" s="164"/>
      <c r="AX182" s="164"/>
      <c r="AY182" s="164"/>
      <c r="AZ182" s="164"/>
      <c r="BA182" s="164"/>
      <c r="BB182" s="164"/>
      <c r="BC182" s="164"/>
      <c r="BD182" s="164"/>
      <c r="BE182" s="164"/>
      <c r="BF182" s="164"/>
      <c r="BG182" s="164"/>
      <c r="BH182" s="164"/>
      <c r="BI182" s="164"/>
    </row>
    <row r="183" ht="15.75" customHeight="1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  <c r="AD183" s="164"/>
      <c r="AE183" s="164"/>
      <c r="AF183" s="164"/>
      <c r="AG183" s="164"/>
      <c r="AH183" s="164"/>
      <c r="AI183" s="164"/>
      <c r="AJ183" s="164"/>
      <c r="AK183" s="164"/>
      <c r="AL183" s="164"/>
      <c r="AM183" s="164"/>
      <c r="AN183" s="164"/>
      <c r="AO183" s="164"/>
      <c r="AP183" s="164"/>
      <c r="AQ183" s="164"/>
      <c r="AR183" s="164"/>
      <c r="AS183" s="164"/>
      <c r="AT183" s="164"/>
      <c r="AU183" s="164"/>
      <c r="AV183" s="164"/>
      <c r="AW183" s="164"/>
      <c r="AX183" s="164"/>
      <c r="AY183" s="164"/>
      <c r="AZ183" s="164"/>
      <c r="BA183" s="164"/>
      <c r="BB183" s="164"/>
      <c r="BC183" s="164"/>
      <c r="BD183" s="164"/>
      <c r="BE183" s="164"/>
      <c r="BF183" s="164"/>
      <c r="BG183" s="164"/>
      <c r="BH183" s="164"/>
      <c r="BI183" s="164"/>
    </row>
    <row r="184" ht="15.75" customHeight="1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  <c r="AD184" s="164"/>
      <c r="AE184" s="164"/>
      <c r="AF184" s="164"/>
      <c r="AG184" s="164"/>
      <c r="AH184" s="164"/>
      <c r="AI184" s="164"/>
      <c r="AJ184" s="164"/>
      <c r="AK184" s="164"/>
      <c r="AL184" s="164"/>
      <c r="AM184" s="164"/>
      <c r="AN184" s="164"/>
      <c r="AO184" s="164"/>
      <c r="AP184" s="164"/>
      <c r="AQ184" s="164"/>
      <c r="AR184" s="164"/>
      <c r="AS184" s="164"/>
      <c r="AT184" s="164"/>
      <c r="AU184" s="164"/>
      <c r="AV184" s="164"/>
      <c r="AW184" s="164"/>
      <c r="AX184" s="164"/>
      <c r="AY184" s="164"/>
      <c r="AZ184" s="164"/>
      <c r="BA184" s="164"/>
      <c r="BB184" s="164"/>
      <c r="BC184" s="164"/>
      <c r="BD184" s="164"/>
      <c r="BE184" s="164"/>
      <c r="BF184" s="164"/>
      <c r="BG184" s="164"/>
      <c r="BH184" s="164"/>
      <c r="BI184" s="164"/>
    </row>
    <row r="185" ht="15.75" customHeight="1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  <c r="AG185" s="164"/>
      <c r="AH185" s="164"/>
      <c r="AI185" s="164"/>
      <c r="AJ185" s="164"/>
      <c r="AK185" s="164"/>
      <c r="AL185" s="164"/>
      <c r="AM185" s="164"/>
      <c r="AN185" s="164"/>
      <c r="AO185" s="164"/>
      <c r="AP185" s="164"/>
      <c r="AQ185" s="164"/>
      <c r="AR185" s="164"/>
      <c r="AS185" s="164"/>
      <c r="AT185" s="164"/>
      <c r="AU185" s="164"/>
      <c r="AV185" s="164"/>
      <c r="AW185" s="164"/>
      <c r="AX185" s="164"/>
      <c r="AY185" s="164"/>
      <c r="AZ185" s="164"/>
      <c r="BA185" s="164"/>
      <c r="BB185" s="164"/>
      <c r="BC185" s="164"/>
      <c r="BD185" s="164"/>
      <c r="BE185" s="164"/>
      <c r="BF185" s="164"/>
      <c r="BG185" s="164"/>
      <c r="BH185" s="164"/>
      <c r="BI185" s="164"/>
    </row>
    <row r="186" ht="15.75" customHeight="1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  <c r="AE186" s="164"/>
      <c r="AF186" s="164"/>
      <c r="AG186" s="164"/>
      <c r="AH186" s="164"/>
      <c r="AI186" s="164"/>
      <c r="AJ186" s="164"/>
      <c r="AK186" s="164"/>
      <c r="AL186" s="164"/>
      <c r="AM186" s="164"/>
      <c r="AN186" s="164"/>
      <c r="AO186" s="164"/>
      <c r="AP186" s="164"/>
      <c r="AQ186" s="164"/>
      <c r="AR186" s="164"/>
      <c r="AS186" s="164"/>
      <c r="AT186" s="164"/>
      <c r="AU186" s="164"/>
      <c r="AV186" s="164"/>
      <c r="AW186" s="164"/>
      <c r="AX186" s="164"/>
      <c r="AY186" s="164"/>
      <c r="AZ186" s="164"/>
      <c r="BA186" s="164"/>
      <c r="BB186" s="164"/>
      <c r="BC186" s="164"/>
      <c r="BD186" s="164"/>
      <c r="BE186" s="164"/>
      <c r="BF186" s="164"/>
      <c r="BG186" s="164"/>
      <c r="BH186" s="164"/>
      <c r="BI186" s="164"/>
    </row>
    <row r="187" ht="15.75" customHeight="1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  <c r="AD187" s="164"/>
      <c r="AE187" s="164"/>
      <c r="AF187" s="164"/>
      <c r="AG187" s="164"/>
      <c r="AH187" s="164"/>
      <c r="AI187" s="164"/>
      <c r="AJ187" s="164"/>
      <c r="AK187" s="164"/>
      <c r="AL187" s="164"/>
      <c r="AM187" s="164"/>
      <c r="AN187" s="164"/>
      <c r="AO187" s="164"/>
      <c r="AP187" s="164"/>
      <c r="AQ187" s="164"/>
      <c r="AR187" s="164"/>
      <c r="AS187" s="164"/>
      <c r="AT187" s="164"/>
      <c r="AU187" s="164"/>
      <c r="AV187" s="164"/>
      <c r="AW187" s="164"/>
      <c r="AX187" s="164"/>
      <c r="AY187" s="164"/>
      <c r="AZ187" s="164"/>
      <c r="BA187" s="164"/>
      <c r="BB187" s="164"/>
      <c r="BC187" s="164"/>
      <c r="BD187" s="164"/>
      <c r="BE187" s="164"/>
      <c r="BF187" s="164"/>
      <c r="BG187" s="164"/>
      <c r="BH187" s="164"/>
      <c r="BI187" s="164"/>
    </row>
    <row r="188" ht="15.75" customHeight="1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  <c r="AD188" s="164"/>
      <c r="AE188" s="164"/>
      <c r="AF188" s="164"/>
      <c r="AG188" s="164"/>
      <c r="AH188" s="164"/>
      <c r="AI188" s="164"/>
      <c r="AJ188" s="164"/>
      <c r="AK188" s="164"/>
      <c r="AL188" s="164"/>
      <c r="AM188" s="164"/>
      <c r="AN188" s="164"/>
      <c r="AO188" s="164"/>
      <c r="AP188" s="164"/>
      <c r="AQ188" s="164"/>
      <c r="AR188" s="164"/>
      <c r="AS188" s="164"/>
      <c r="AT188" s="164"/>
      <c r="AU188" s="164"/>
      <c r="AV188" s="164"/>
      <c r="AW188" s="164"/>
      <c r="AX188" s="164"/>
      <c r="AY188" s="164"/>
      <c r="AZ188" s="164"/>
      <c r="BA188" s="164"/>
      <c r="BB188" s="164"/>
      <c r="BC188" s="164"/>
      <c r="BD188" s="164"/>
      <c r="BE188" s="164"/>
      <c r="BF188" s="164"/>
      <c r="BG188" s="164"/>
      <c r="BH188" s="164"/>
      <c r="BI188" s="164"/>
    </row>
    <row r="189" ht="15.75" customHeight="1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  <c r="AD189" s="164"/>
      <c r="AE189" s="164"/>
      <c r="AF189" s="164"/>
      <c r="AG189" s="164"/>
      <c r="AH189" s="164"/>
      <c r="AI189" s="164"/>
      <c r="AJ189" s="164"/>
      <c r="AK189" s="164"/>
      <c r="AL189" s="164"/>
      <c r="AM189" s="164"/>
      <c r="AN189" s="164"/>
      <c r="AO189" s="164"/>
      <c r="AP189" s="164"/>
      <c r="AQ189" s="164"/>
      <c r="AR189" s="164"/>
      <c r="AS189" s="164"/>
      <c r="AT189" s="164"/>
      <c r="AU189" s="164"/>
      <c r="AV189" s="164"/>
      <c r="AW189" s="164"/>
      <c r="AX189" s="164"/>
      <c r="AY189" s="164"/>
      <c r="AZ189" s="164"/>
      <c r="BA189" s="164"/>
      <c r="BB189" s="164"/>
      <c r="BC189" s="164"/>
      <c r="BD189" s="164"/>
      <c r="BE189" s="164"/>
      <c r="BF189" s="164"/>
      <c r="BG189" s="164"/>
      <c r="BH189" s="164"/>
      <c r="BI189" s="164"/>
    </row>
    <row r="190" ht="15.75" customHeight="1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  <c r="AD190" s="164"/>
      <c r="AE190" s="164"/>
      <c r="AF190" s="164"/>
      <c r="AG190" s="164"/>
      <c r="AH190" s="164"/>
      <c r="AI190" s="164"/>
      <c r="AJ190" s="164"/>
      <c r="AK190" s="164"/>
      <c r="AL190" s="164"/>
      <c r="AM190" s="164"/>
      <c r="AN190" s="164"/>
      <c r="AO190" s="164"/>
      <c r="AP190" s="164"/>
      <c r="AQ190" s="164"/>
      <c r="AR190" s="164"/>
      <c r="AS190" s="164"/>
      <c r="AT190" s="164"/>
      <c r="AU190" s="164"/>
      <c r="AV190" s="164"/>
      <c r="AW190" s="164"/>
      <c r="AX190" s="164"/>
      <c r="AY190" s="164"/>
      <c r="AZ190" s="164"/>
      <c r="BA190" s="164"/>
      <c r="BB190" s="164"/>
      <c r="BC190" s="164"/>
      <c r="BD190" s="164"/>
      <c r="BE190" s="164"/>
      <c r="BF190" s="164"/>
      <c r="BG190" s="164"/>
      <c r="BH190" s="164"/>
      <c r="BI190" s="164"/>
    </row>
    <row r="191" ht="15.75" customHeight="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  <c r="AD191" s="164"/>
      <c r="AE191" s="164"/>
      <c r="AF191" s="164"/>
      <c r="AG191" s="164"/>
      <c r="AH191" s="164"/>
      <c r="AI191" s="164"/>
      <c r="AJ191" s="164"/>
      <c r="AK191" s="164"/>
      <c r="AL191" s="164"/>
      <c r="AM191" s="164"/>
      <c r="AN191" s="164"/>
      <c r="AO191" s="164"/>
      <c r="AP191" s="164"/>
      <c r="AQ191" s="164"/>
      <c r="AR191" s="164"/>
      <c r="AS191" s="164"/>
      <c r="AT191" s="164"/>
      <c r="AU191" s="164"/>
      <c r="AV191" s="164"/>
      <c r="AW191" s="164"/>
      <c r="AX191" s="164"/>
      <c r="AY191" s="164"/>
      <c r="AZ191" s="164"/>
      <c r="BA191" s="164"/>
      <c r="BB191" s="164"/>
      <c r="BC191" s="164"/>
      <c r="BD191" s="164"/>
      <c r="BE191" s="164"/>
      <c r="BF191" s="164"/>
      <c r="BG191" s="164"/>
      <c r="BH191" s="164"/>
      <c r="BI191" s="164"/>
    </row>
    <row r="192" ht="15.75" customHeight="1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  <c r="AD192" s="164"/>
      <c r="AE192" s="164"/>
      <c r="AF192" s="164"/>
      <c r="AG192" s="164"/>
      <c r="AH192" s="164"/>
      <c r="AI192" s="164"/>
      <c r="AJ192" s="164"/>
      <c r="AK192" s="164"/>
      <c r="AL192" s="164"/>
      <c r="AM192" s="164"/>
      <c r="AN192" s="164"/>
      <c r="AO192" s="164"/>
      <c r="AP192" s="164"/>
      <c r="AQ192" s="164"/>
      <c r="AR192" s="164"/>
      <c r="AS192" s="164"/>
      <c r="AT192" s="164"/>
      <c r="AU192" s="164"/>
      <c r="AV192" s="164"/>
      <c r="AW192" s="164"/>
      <c r="AX192" s="164"/>
      <c r="AY192" s="164"/>
      <c r="AZ192" s="164"/>
      <c r="BA192" s="164"/>
      <c r="BB192" s="164"/>
      <c r="BC192" s="164"/>
      <c r="BD192" s="164"/>
      <c r="BE192" s="164"/>
      <c r="BF192" s="164"/>
      <c r="BG192" s="164"/>
      <c r="BH192" s="164"/>
      <c r="BI192" s="164"/>
    </row>
    <row r="193" ht="15.75" customHeight="1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  <c r="AD193" s="164"/>
      <c r="AE193" s="164"/>
      <c r="AF193" s="164"/>
      <c r="AG193" s="164"/>
      <c r="AH193" s="164"/>
      <c r="AI193" s="164"/>
      <c r="AJ193" s="164"/>
      <c r="AK193" s="164"/>
      <c r="AL193" s="164"/>
      <c r="AM193" s="164"/>
      <c r="AN193" s="164"/>
      <c r="AO193" s="164"/>
      <c r="AP193" s="164"/>
      <c r="AQ193" s="164"/>
      <c r="AR193" s="164"/>
      <c r="AS193" s="164"/>
      <c r="AT193" s="164"/>
      <c r="AU193" s="164"/>
      <c r="AV193" s="164"/>
      <c r="AW193" s="164"/>
      <c r="AX193" s="164"/>
      <c r="AY193" s="164"/>
      <c r="AZ193" s="164"/>
      <c r="BA193" s="164"/>
      <c r="BB193" s="164"/>
      <c r="BC193" s="164"/>
      <c r="BD193" s="164"/>
      <c r="BE193" s="164"/>
      <c r="BF193" s="164"/>
      <c r="BG193" s="164"/>
      <c r="BH193" s="164"/>
      <c r="BI193" s="164"/>
    </row>
    <row r="194" ht="15.75" customHeight="1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  <c r="AD194" s="164"/>
      <c r="AE194" s="164"/>
      <c r="AF194" s="164"/>
      <c r="AG194" s="164"/>
      <c r="AH194" s="164"/>
      <c r="AI194" s="164"/>
      <c r="AJ194" s="164"/>
      <c r="AK194" s="164"/>
      <c r="AL194" s="164"/>
      <c r="AM194" s="164"/>
      <c r="AN194" s="164"/>
      <c r="AO194" s="164"/>
      <c r="AP194" s="164"/>
      <c r="AQ194" s="164"/>
      <c r="AR194" s="164"/>
      <c r="AS194" s="164"/>
      <c r="AT194" s="164"/>
      <c r="AU194" s="164"/>
      <c r="AV194" s="164"/>
      <c r="AW194" s="164"/>
      <c r="AX194" s="164"/>
      <c r="AY194" s="164"/>
      <c r="AZ194" s="164"/>
      <c r="BA194" s="164"/>
      <c r="BB194" s="164"/>
      <c r="BC194" s="164"/>
      <c r="BD194" s="164"/>
      <c r="BE194" s="164"/>
      <c r="BF194" s="164"/>
      <c r="BG194" s="164"/>
      <c r="BH194" s="164"/>
      <c r="BI194" s="164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  <c r="AD195" s="164"/>
      <c r="AE195" s="164"/>
      <c r="AF195" s="164"/>
      <c r="AG195" s="164"/>
      <c r="AH195" s="164"/>
      <c r="AI195" s="164"/>
      <c r="AJ195" s="164"/>
      <c r="AK195" s="164"/>
      <c r="AL195" s="164"/>
      <c r="AM195" s="164"/>
      <c r="AN195" s="164"/>
      <c r="AO195" s="164"/>
      <c r="AP195" s="164"/>
      <c r="AQ195" s="164"/>
      <c r="AR195" s="164"/>
      <c r="AS195" s="164"/>
      <c r="AT195" s="164"/>
      <c r="AU195" s="164"/>
      <c r="AV195" s="164"/>
      <c r="AW195" s="164"/>
      <c r="AX195" s="164"/>
      <c r="AY195" s="164"/>
      <c r="AZ195" s="164"/>
      <c r="BA195" s="164"/>
      <c r="BB195" s="164"/>
      <c r="BC195" s="164"/>
      <c r="BD195" s="164"/>
      <c r="BE195" s="164"/>
      <c r="BF195" s="164"/>
      <c r="BG195" s="164"/>
      <c r="BH195" s="164"/>
      <c r="BI195" s="164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  <c r="AD196" s="164"/>
      <c r="AE196" s="164"/>
      <c r="AF196" s="164"/>
      <c r="AG196" s="164"/>
      <c r="AH196" s="164"/>
      <c r="AI196" s="164"/>
      <c r="AJ196" s="164"/>
      <c r="AK196" s="164"/>
      <c r="AL196" s="164"/>
      <c r="AM196" s="164"/>
      <c r="AN196" s="164"/>
      <c r="AO196" s="164"/>
      <c r="AP196" s="164"/>
      <c r="AQ196" s="164"/>
      <c r="AR196" s="164"/>
      <c r="AS196" s="164"/>
      <c r="AT196" s="164"/>
      <c r="AU196" s="164"/>
      <c r="AV196" s="164"/>
      <c r="AW196" s="164"/>
      <c r="AX196" s="164"/>
      <c r="AY196" s="164"/>
      <c r="AZ196" s="164"/>
      <c r="BA196" s="164"/>
      <c r="BB196" s="164"/>
      <c r="BC196" s="164"/>
      <c r="BD196" s="164"/>
      <c r="BE196" s="164"/>
      <c r="BF196" s="164"/>
      <c r="BG196" s="164"/>
      <c r="BH196" s="164"/>
      <c r="BI196" s="164"/>
    </row>
    <row r="197" ht="15.75" customHeight="1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  <c r="AD197" s="164"/>
      <c r="AE197" s="164"/>
      <c r="AF197" s="164"/>
      <c r="AG197" s="164"/>
      <c r="AH197" s="164"/>
      <c r="AI197" s="164"/>
      <c r="AJ197" s="164"/>
      <c r="AK197" s="164"/>
      <c r="AL197" s="164"/>
      <c r="AM197" s="164"/>
      <c r="AN197" s="164"/>
      <c r="AO197" s="164"/>
      <c r="AP197" s="164"/>
      <c r="AQ197" s="164"/>
      <c r="AR197" s="164"/>
      <c r="AS197" s="164"/>
      <c r="AT197" s="164"/>
      <c r="AU197" s="164"/>
      <c r="AV197" s="164"/>
      <c r="AW197" s="164"/>
      <c r="AX197" s="164"/>
      <c r="AY197" s="164"/>
      <c r="AZ197" s="164"/>
      <c r="BA197" s="164"/>
      <c r="BB197" s="164"/>
      <c r="BC197" s="164"/>
      <c r="BD197" s="164"/>
      <c r="BE197" s="164"/>
      <c r="BF197" s="164"/>
      <c r="BG197" s="164"/>
      <c r="BH197" s="164"/>
      <c r="BI197" s="164"/>
    </row>
    <row r="198" ht="15.75" customHeight="1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  <c r="AD198" s="164"/>
      <c r="AE198" s="164"/>
      <c r="AF198" s="164"/>
      <c r="AG198" s="164"/>
      <c r="AH198" s="164"/>
      <c r="AI198" s="164"/>
      <c r="AJ198" s="164"/>
      <c r="AK198" s="164"/>
      <c r="AL198" s="164"/>
      <c r="AM198" s="164"/>
      <c r="AN198" s="164"/>
      <c r="AO198" s="164"/>
      <c r="AP198" s="164"/>
      <c r="AQ198" s="164"/>
      <c r="AR198" s="164"/>
      <c r="AS198" s="164"/>
      <c r="AT198" s="164"/>
      <c r="AU198" s="164"/>
      <c r="AV198" s="164"/>
      <c r="AW198" s="164"/>
      <c r="AX198" s="164"/>
      <c r="AY198" s="164"/>
      <c r="AZ198" s="164"/>
      <c r="BA198" s="164"/>
      <c r="BB198" s="164"/>
      <c r="BC198" s="164"/>
      <c r="BD198" s="164"/>
      <c r="BE198" s="164"/>
      <c r="BF198" s="164"/>
      <c r="BG198" s="164"/>
      <c r="BH198" s="164"/>
      <c r="BI198" s="164"/>
    </row>
    <row r="199" ht="15.75" customHeight="1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  <c r="AD199" s="164"/>
      <c r="AE199" s="164"/>
      <c r="AF199" s="164"/>
      <c r="AG199" s="164"/>
      <c r="AH199" s="164"/>
      <c r="AI199" s="164"/>
      <c r="AJ199" s="164"/>
      <c r="AK199" s="164"/>
      <c r="AL199" s="164"/>
      <c r="AM199" s="164"/>
      <c r="AN199" s="164"/>
      <c r="AO199" s="164"/>
      <c r="AP199" s="164"/>
      <c r="AQ199" s="164"/>
      <c r="AR199" s="164"/>
      <c r="AS199" s="164"/>
      <c r="AT199" s="164"/>
      <c r="AU199" s="164"/>
      <c r="AV199" s="164"/>
      <c r="AW199" s="164"/>
      <c r="AX199" s="164"/>
      <c r="AY199" s="164"/>
      <c r="AZ199" s="164"/>
      <c r="BA199" s="164"/>
      <c r="BB199" s="164"/>
      <c r="BC199" s="164"/>
      <c r="BD199" s="164"/>
      <c r="BE199" s="164"/>
      <c r="BF199" s="164"/>
      <c r="BG199" s="164"/>
      <c r="BH199" s="164"/>
      <c r="BI199" s="164"/>
    </row>
    <row r="200" ht="15.75" customHeight="1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  <c r="AD200" s="164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  <c r="AO200" s="164"/>
      <c r="AP200" s="164"/>
      <c r="AQ200" s="164"/>
      <c r="AR200" s="164"/>
      <c r="AS200" s="164"/>
      <c r="AT200" s="164"/>
      <c r="AU200" s="164"/>
      <c r="AV200" s="164"/>
      <c r="AW200" s="164"/>
      <c r="AX200" s="164"/>
      <c r="AY200" s="164"/>
      <c r="AZ200" s="164"/>
      <c r="BA200" s="164"/>
      <c r="BB200" s="164"/>
      <c r="BC200" s="164"/>
      <c r="BD200" s="164"/>
      <c r="BE200" s="164"/>
      <c r="BF200" s="164"/>
      <c r="BG200" s="164"/>
      <c r="BH200" s="164"/>
      <c r="BI200" s="164"/>
    </row>
    <row r="201" ht="15.75" customHeight="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  <c r="AO201" s="164"/>
      <c r="AP201" s="164"/>
      <c r="AQ201" s="164"/>
      <c r="AR201" s="164"/>
      <c r="AS201" s="164"/>
      <c r="AT201" s="164"/>
      <c r="AU201" s="164"/>
      <c r="AV201" s="164"/>
      <c r="AW201" s="164"/>
      <c r="AX201" s="164"/>
      <c r="AY201" s="164"/>
      <c r="AZ201" s="164"/>
      <c r="BA201" s="164"/>
      <c r="BB201" s="164"/>
      <c r="BC201" s="164"/>
      <c r="BD201" s="164"/>
      <c r="BE201" s="164"/>
      <c r="BF201" s="164"/>
      <c r="BG201" s="164"/>
      <c r="BH201" s="164"/>
      <c r="BI201" s="164"/>
    </row>
    <row r="202" ht="15.75" customHeight="1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  <c r="AE202" s="164"/>
      <c r="AF202" s="164"/>
      <c r="AG202" s="164"/>
      <c r="AH202" s="164"/>
      <c r="AI202" s="164"/>
      <c r="AJ202" s="164"/>
      <c r="AK202" s="164"/>
      <c r="AL202" s="164"/>
      <c r="AM202" s="164"/>
      <c r="AN202" s="164"/>
      <c r="AO202" s="164"/>
      <c r="AP202" s="164"/>
      <c r="AQ202" s="164"/>
      <c r="AR202" s="164"/>
      <c r="AS202" s="164"/>
      <c r="AT202" s="164"/>
      <c r="AU202" s="164"/>
      <c r="AV202" s="164"/>
      <c r="AW202" s="164"/>
      <c r="AX202" s="164"/>
      <c r="AY202" s="164"/>
      <c r="AZ202" s="164"/>
      <c r="BA202" s="164"/>
      <c r="BB202" s="164"/>
      <c r="BC202" s="164"/>
      <c r="BD202" s="164"/>
      <c r="BE202" s="164"/>
      <c r="BF202" s="164"/>
      <c r="BG202" s="164"/>
      <c r="BH202" s="164"/>
      <c r="BI202" s="164"/>
    </row>
    <row r="203" ht="15.75" customHeight="1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  <c r="AE203" s="164"/>
      <c r="AF203" s="164"/>
      <c r="AG203" s="164"/>
      <c r="AH203" s="164"/>
      <c r="AI203" s="164"/>
      <c r="AJ203" s="164"/>
      <c r="AK203" s="164"/>
      <c r="AL203" s="164"/>
      <c r="AM203" s="164"/>
      <c r="AN203" s="164"/>
      <c r="AO203" s="164"/>
      <c r="AP203" s="164"/>
      <c r="AQ203" s="164"/>
      <c r="AR203" s="164"/>
      <c r="AS203" s="164"/>
      <c r="AT203" s="164"/>
      <c r="AU203" s="164"/>
      <c r="AV203" s="164"/>
      <c r="AW203" s="164"/>
      <c r="AX203" s="164"/>
      <c r="AY203" s="164"/>
      <c r="AZ203" s="164"/>
      <c r="BA203" s="164"/>
      <c r="BB203" s="164"/>
      <c r="BC203" s="164"/>
      <c r="BD203" s="164"/>
      <c r="BE203" s="164"/>
      <c r="BF203" s="164"/>
      <c r="BG203" s="164"/>
      <c r="BH203" s="164"/>
      <c r="BI203" s="164"/>
    </row>
    <row r="204" ht="15.75" customHeight="1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  <c r="AD204" s="164"/>
      <c r="AE204" s="164"/>
      <c r="AF204" s="164"/>
      <c r="AG204" s="164"/>
      <c r="AH204" s="164"/>
      <c r="AI204" s="164"/>
      <c r="AJ204" s="164"/>
      <c r="AK204" s="164"/>
      <c r="AL204" s="164"/>
      <c r="AM204" s="164"/>
      <c r="AN204" s="164"/>
      <c r="AO204" s="164"/>
      <c r="AP204" s="164"/>
      <c r="AQ204" s="164"/>
      <c r="AR204" s="164"/>
      <c r="AS204" s="164"/>
      <c r="AT204" s="164"/>
      <c r="AU204" s="164"/>
      <c r="AV204" s="164"/>
      <c r="AW204" s="164"/>
      <c r="AX204" s="164"/>
      <c r="AY204" s="164"/>
      <c r="AZ204" s="164"/>
      <c r="BA204" s="164"/>
      <c r="BB204" s="164"/>
      <c r="BC204" s="164"/>
      <c r="BD204" s="164"/>
      <c r="BE204" s="164"/>
      <c r="BF204" s="164"/>
      <c r="BG204" s="164"/>
      <c r="BH204" s="164"/>
      <c r="BI204" s="164"/>
    </row>
    <row r="205" ht="15.75" customHeight="1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  <c r="AG205" s="164"/>
      <c r="AH205" s="164"/>
      <c r="AI205" s="164"/>
      <c r="AJ205" s="164"/>
      <c r="AK205" s="164"/>
      <c r="AL205" s="164"/>
      <c r="AM205" s="164"/>
      <c r="AN205" s="164"/>
      <c r="AO205" s="164"/>
      <c r="AP205" s="164"/>
      <c r="AQ205" s="164"/>
      <c r="AR205" s="164"/>
      <c r="AS205" s="164"/>
      <c r="AT205" s="164"/>
      <c r="AU205" s="164"/>
      <c r="AV205" s="164"/>
      <c r="AW205" s="164"/>
      <c r="AX205" s="164"/>
      <c r="AY205" s="164"/>
      <c r="AZ205" s="164"/>
      <c r="BA205" s="164"/>
      <c r="BB205" s="164"/>
      <c r="BC205" s="164"/>
      <c r="BD205" s="164"/>
      <c r="BE205" s="164"/>
      <c r="BF205" s="164"/>
      <c r="BG205" s="164"/>
      <c r="BH205" s="164"/>
      <c r="BI205" s="164"/>
    </row>
    <row r="206" ht="15.75" customHeight="1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  <c r="AD206" s="164"/>
      <c r="AE206" s="164"/>
      <c r="AF206" s="164"/>
      <c r="AG206" s="164"/>
      <c r="AH206" s="164"/>
      <c r="AI206" s="164"/>
      <c r="AJ206" s="164"/>
      <c r="AK206" s="164"/>
      <c r="AL206" s="164"/>
      <c r="AM206" s="164"/>
      <c r="AN206" s="164"/>
      <c r="AO206" s="164"/>
      <c r="AP206" s="164"/>
      <c r="AQ206" s="164"/>
      <c r="AR206" s="164"/>
      <c r="AS206" s="164"/>
      <c r="AT206" s="164"/>
      <c r="AU206" s="164"/>
      <c r="AV206" s="164"/>
      <c r="AW206" s="164"/>
      <c r="AX206" s="164"/>
      <c r="AY206" s="164"/>
      <c r="AZ206" s="164"/>
      <c r="BA206" s="164"/>
      <c r="BB206" s="164"/>
      <c r="BC206" s="164"/>
      <c r="BD206" s="164"/>
      <c r="BE206" s="164"/>
      <c r="BF206" s="164"/>
      <c r="BG206" s="164"/>
      <c r="BH206" s="164"/>
      <c r="BI206" s="164"/>
    </row>
    <row r="207" ht="15.75" customHeight="1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  <c r="AD207" s="164"/>
      <c r="AE207" s="164"/>
      <c r="AF207" s="164"/>
      <c r="AG207" s="164"/>
      <c r="AH207" s="164"/>
      <c r="AI207" s="164"/>
      <c r="AJ207" s="164"/>
      <c r="AK207" s="164"/>
      <c r="AL207" s="164"/>
      <c r="AM207" s="164"/>
      <c r="AN207" s="164"/>
      <c r="AO207" s="164"/>
      <c r="AP207" s="164"/>
      <c r="AQ207" s="164"/>
      <c r="AR207" s="164"/>
      <c r="AS207" s="164"/>
      <c r="AT207" s="164"/>
      <c r="AU207" s="164"/>
      <c r="AV207" s="164"/>
      <c r="AW207" s="164"/>
      <c r="AX207" s="164"/>
      <c r="AY207" s="164"/>
      <c r="AZ207" s="164"/>
      <c r="BA207" s="164"/>
      <c r="BB207" s="164"/>
      <c r="BC207" s="164"/>
      <c r="BD207" s="164"/>
      <c r="BE207" s="164"/>
      <c r="BF207" s="164"/>
      <c r="BG207" s="164"/>
      <c r="BH207" s="164"/>
      <c r="BI207" s="164"/>
    </row>
    <row r="208" ht="15.75" customHeight="1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  <c r="AD208" s="164"/>
      <c r="AE208" s="164"/>
      <c r="AF208" s="164"/>
      <c r="AG208" s="164"/>
      <c r="AH208" s="164"/>
      <c r="AI208" s="164"/>
      <c r="AJ208" s="164"/>
      <c r="AK208" s="164"/>
      <c r="AL208" s="164"/>
      <c r="AM208" s="164"/>
      <c r="AN208" s="164"/>
      <c r="AO208" s="164"/>
      <c r="AP208" s="164"/>
      <c r="AQ208" s="164"/>
      <c r="AR208" s="164"/>
      <c r="AS208" s="164"/>
      <c r="AT208" s="164"/>
      <c r="AU208" s="164"/>
      <c r="AV208" s="164"/>
      <c r="AW208" s="164"/>
      <c r="AX208" s="164"/>
      <c r="AY208" s="164"/>
      <c r="AZ208" s="164"/>
      <c r="BA208" s="164"/>
      <c r="BB208" s="164"/>
      <c r="BC208" s="164"/>
      <c r="BD208" s="164"/>
      <c r="BE208" s="164"/>
      <c r="BF208" s="164"/>
      <c r="BG208" s="164"/>
      <c r="BH208" s="164"/>
      <c r="BI208" s="164"/>
    </row>
    <row r="209" ht="15.75" customHeight="1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  <c r="AK209" s="164"/>
      <c r="AL209" s="164"/>
      <c r="AM209" s="164"/>
      <c r="AN209" s="164"/>
      <c r="AO209" s="164"/>
      <c r="AP209" s="164"/>
      <c r="AQ209" s="164"/>
      <c r="AR209" s="164"/>
      <c r="AS209" s="164"/>
      <c r="AT209" s="164"/>
      <c r="AU209" s="164"/>
      <c r="AV209" s="164"/>
      <c r="AW209" s="164"/>
      <c r="AX209" s="164"/>
      <c r="AY209" s="164"/>
      <c r="AZ209" s="164"/>
      <c r="BA209" s="164"/>
      <c r="BB209" s="164"/>
      <c r="BC209" s="164"/>
      <c r="BD209" s="164"/>
      <c r="BE209" s="164"/>
      <c r="BF209" s="164"/>
      <c r="BG209" s="164"/>
      <c r="BH209" s="164"/>
      <c r="BI209" s="164"/>
    </row>
    <row r="210" ht="15.75" customHeight="1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  <c r="AE210" s="164"/>
      <c r="AF210" s="164"/>
      <c r="AG210" s="164"/>
      <c r="AH210" s="164"/>
      <c r="AI210" s="164"/>
      <c r="AJ210" s="164"/>
      <c r="AK210" s="164"/>
      <c r="AL210" s="164"/>
      <c r="AM210" s="164"/>
      <c r="AN210" s="164"/>
      <c r="AO210" s="164"/>
      <c r="AP210" s="164"/>
      <c r="AQ210" s="164"/>
      <c r="AR210" s="164"/>
      <c r="AS210" s="164"/>
      <c r="AT210" s="164"/>
      <c r="AU210" s="164"/>
      <c r="AV210" s="164"/>
      <c r="AW210" s="164"/>
      <c r="AX210" s="164"/>
      <c r="AY210" s="164"/>
      <c r="AZ210" s="164"/>
      <c r="BA210" s="164"/>
      <c r="BB210" s="164"/>
      <c r="BC210" s="164"/>
      <c r="BD210" s="164"/>
      <c r="BE210" s="164"/>
      <c r="BF210" s="164"/>
      <c r="BG210" s="164"/>
      <c r="BH210" s="164"/>
      <c r="BI210" s="164"/>
    </row>
    <row r="211" ht="15.75" customHeight="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  <c r="AD211" s="164"/>
      <c r="AE211" s="164"/>
      <c r="AF211" s="164"/>
      <c r="AG211" s="164"/>
      <c r="AH211" s="164"/>
      <c r="AI211" s="164"/>
      <c r="AJ211" s="164"/>
      <c r="AK211" s="164"/>
      <c r="AL211" s="164"/>
      <c r="AM211" s="164"/>
      <c r="AN211" s="164"/>
      <c r="AO211" s="164"/>
      <c r="AP211" s="164"/>
      <c r="AQ211" s="164"/>
      <c r="AR211" s="164"/>
      <c r="AS211" s="164"/>
      <c r="AT211" s="164"/>
      <c r="AU211" s="164"/>
      <c r="AV211" s="164"/>
      <c r="AW211" s="164"/>
      <c r="AX211" s="164"/>
      <c r="AY211" s="164"/>
      <c r="AZ211" s="164"/>
      <c r="BA211" s="164"/>
      <c r="BB211" s="164"/>
      <c r="BC211" s="164"/>
      <c r="BD211" s="164"/>
      <c r="BE211" s="164"/>
      <c r="BF211" s="164"/>
      <c r="BG211" s="164"/>
      <c r="BH211" s="164"/>
      <c r="BI211" s="164"/>
    </row>
    <row r="212" ht="15.75" customHeight="1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  <c r="AD212" s="164"/>
      <c r="AE212" s="164"/>
      <c r="AF212" s="164"/>
      <c r="AG212" s="164"/>
      <c r="AH212" s="164"/>
      <c r="AI212" s="164"/>
      <c r="AJ212" s="164"/>
      <c r="AK212" s="164"/>
      <c r="AL212" s="164"/>
      <c r="AM212" s="164"/>
      <c r="AN212" s="164"/>
      <c r="AO212" s="164"/>
      <c r="AP212" s="164"/>
      <c r="AQ212" s="164"/>
      <c r="AR212" s="164"/>
      <c r="AS212" s="164"/>
      <c r="AT212" s="164"/>
      <c r="AU212" s="164"/>
      <c r="AV212" s="164"/>
      <c r="AW212" s="164"/>
      <c r="AX212" s="164"/>
      <c r="AY212" s="164"/>
      <c r="AZ212" s="164"/>
      <c r="BA212" s="164"/>
      <c r="BB212" s="164"/>
      <c r="BC212" s="164"/>
      <c r="BD212" s="164"/>
      <c r="BE212" s="164"/>
      <c r="BF212" s="164"/>
      <c r="BG212" s="164"/>
      <c r="BH212" s="164"/>
      <c r="BI212" s="164"/>
    </row>
    <row r="213" ht="15.75" customHeight="1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  <c r="AD213" s="164"/>
      <c r="AE213" s="164"/>
      <c r="AF213" s="164"/>
      <c r="AG213" s="164"/>
      <c r="AH213" s="164"/>
      <c r="AI213" s="164"/>
      <c r="AJ213" s="164"/>
      <c r="AK213" s="164"/>
      <c r="AL213" s="164"/>
      <c r="AM213" s="164"/>
      <c r="AN213" s="164"/>
      <c r="AO213" s="164"/>
      <c r="AP213" s="164"/>
      <c r="AQ213" s="164"/>
      <c r="AR213" s="164"/>
      <c r="AS213" s="164"/>
      <c r="AT213" s="164"/>
      <c r="AU213" s="164"/>
      <c r="AV213" s="164"/>
      <c r="AW213" s="164"/>
      <c r="AX213" s="164"/>
      <c r="AY213" s="164"/>
      <c r="AZ213" s="164"/>
      <c r="BA213" s="164"/>
      <c r="BB213" s="164"/>
      <c r="BC213" s="164"/>
      <c r="BD213" s="164"/>
      <c r="BE213" s="164"/>
      <c r="BF213" s="164"/>
      <c r="BG213" s="164"/>
      <c r="BH213" s="164"/>
      <c r="BI213" s="164"/>
    </row>
    <row r="214" ht="15.75" customHeight="1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  <c r="AE214" s="164"/>
      <c r="AF214" s="164"/>
      <c r="AG214" s="164"/>
      <c r="AH214" s="164"/>
      <c r="AI214" s="164"/>
      <c r="AJ214" s="164"/>
      <c r="AK214" s="164"/>
      <c r="AL214" s="164"/>
      <c r="AM214" s="164"/>
      <c r="AN214" s="164"/>
      <c r="AO214" s="164"/>
      <c r="AP214" s="164"/>
      <c r="AQ214" s="164"/>
      <c r="AR214" s="164"/>
      <c r="AS214" s="164"/>
      <c r="AT214" s="164"/>
      <c r="AU214" s="164"/>
      <c r="AV214" s="164"/>
      <c r="AW214" s="164"/>
      <c r="AX214" s="164"/>
      <c r="AY214" s="164"/>
      <c r="AZ214" s="164"/>
      <c r="BA214" s="164"/>
      <c r="BB214" s="164"/>
      <c r="BC214" s="164"/>
      <c r="BD214" s="164"/>
      <c r="BE214" s="164"/>
      <c r="BF214" s="164"/>
      <c r="BG214" s="164"/>
      <c r="BH214" s="164"/>
      <c r="BI214" s="164"/>
    </row>
    <row r="215" ht="15.75" customHeight="1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  <c r="AD215" s="164"/>
      <c r="AE215" s="164"/>
      <c r="AF215" s="164"/>
      <c r="AG215" s="164"/>
      <c r="AH215" s="164"/>
      <c r="AI215" s="164"/>
      <c r="AJ215" s="164"/>
      <c r="AK215" s="164"/>
      <c r="AL215" s="164"/>
      <c r="AM215" s="164"/>
      <c r="AN215" s="164"/>
      <c r="AO215" s="164"/>
      <c r="AP215" s="164"/>
      <c r="AQ215" s="164"/>
      <c r="AR215" s="164"/>
      <c r="AS215" s="164"/>
      <c r="AT215" s="164"/>
      <c r="AU215" s="164"/>
      <c r="AV215" s="164"/>
      <c r="AW215" s="164"/>
      <c r="AX215" s="164"/>
      <c r="AY215" s="164"/>
      <c r="AZ215" s="164"/>
      <c r="BA215" s="164"/>
      <c r="BB215" s="164"/>
      <c r="BC215" s="164"/>
      <c r="BD215" s="164"/>
      <c r="BE215" s="164"/>
      <c r="BF215" s="164"/>
      <c r="BG215" s="164"/>
      <c r="BH215" s="164"/>
      <c r="BI215" s="164"/>
    </row>
    <row r="216" ht="15.75" customHeight="1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  <c r="AD216" s="164"/>
      <c r="AE216" s="164"/>
      <c r="AF216" s="164"/>
      <c r="AG216" s="164"/>
      <c r="AH216" s="164"/>
      <c r="AI216" s="164"/>
      <c r="AJ216" s="164"/>
      <c r="AK216" s="164"/>
      <c r="AL216" s="164"/>
      <c r="AM216" s="164"/>
      <c r="AN216" s="164"/>
      <c r="AO216" s="164"/>
      <c r="AP216" s="164"/>
      <c r="AQ216" s="164"/>
      <c r="AR216" s="164"/>
      <c r="AS216" s="164"/>
      <c r="AT216" s="164"/>
      <c r="AU216" s="164"/>
      <c r="AV216" s="164"/>
      <c r="AW216" s="164"/>
      <c r="AX216" s="164"/>
      <c r="AY216" s="164"/>
      <c r="AZ216" s="164"/>
      <c r="BA216" s="164"/>
      <c r="BB216" s="164"/>
      <c r="BC216" s="164"/>
      <c r="BD216" s="164"/>
      <c r="BE216" s="164"/>
      <c r="BF216" s="164"/>
      <c r="BG216" s="164"/>
      <c r="BH216" s="164"/>
      <c r="BI216" s="164"/>
    </row>
    <row r="217" ht="15.75" customHeight="1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  <c r="AD217" s="164"/>
      <c r="AE217" s="164"/>
      <c r="AF217" s="164"/>
      <c r="AG217" s="164"/>
      <c r="AH217" s="164"/>
      <c r="AI217" s="164"/>
      <c r="AJ217" s="164"/>
      <c r="AK217" s="164"/>
      <c r="AL217" s="164"/>
      <c r="AM217" s="164"/>
      <c r="AN217" s="164"/>
      <c r="AO217" s="164"/>
      <c r="AP217" s="164"/>
      <c r="AQ217" s="164"/>
      <c r="AR217" s="164"/>
      <c r="AS217" s="164"/>
      <c r="AT217" s="164"/>
      <c r="AU217" s="164"/>
      <c r="AV217" s="164"/>
      <c r="AW217" s="164"/>
      <c r="AX217" s="164"/>
      <c r="AY217" s="164"/>
      <c r="AZ217" s="164"/>
      <c r="BA217" s="164"/>
      <c r="BB217" s="164"/>
      <c r="BC217" s="164"/>
      <c r="BD217" s="164"/>
      <c r="BE217" s="164"/>
      <c r="BF217" s="164"/>
      <c r="BG217" s="164"/>
      <c r="BH217" s="164"/>
      <c r="BI217" s="164"/>
    </row>
    <row r="218" ht="15.75" customHeight="1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  <c r="AD218" s="164"/>
      <c r="AE218" s="164"/>
      <c r="AF218" s="164"/>
      <c r="AG218" s="164"/>
      <c r="AH218" s="164"/>
      <c r="AI218" s="164"/>
      <c r="AJ218" s="164"/>
      <c r="AK218" s="164"/>
      <c r="AL218" s="164"/>
      <c r="AM218" s="164"/>
      <c r="AN218" s="164"/>
      <c r="AO218" s="164"/>
      <c r="AP218" s="164"/>
      <c r="AQ218" s="164"/>
      <c r="AR218" s="164"/>
      <c r="AS218" s="164"/>
      <c r="AT218" s="164"/>
      <c r="AU218" s="164"/>
      <c r="AV218" s="164"/>
      <c r="AW218" s="164"/>
      <c r="AX218" s="164"/>
      <c r="AY218" s="164"/>
      <c r="AZ218" s="164"/>
      <c r="BA218" s="164"/>
      <c r="BB218" s="164"/>
      <c r="BC218" s="164"/>
      <c r="BD218" s="164"/>
      <c r="BE218" s="164"/>
      <c r="BF218" s="164"/>
      <c r="BG218" s="164"/>
      <c r="BH218" s="164"/>
      <c r="BI218" s="164"/>
    </row>
    <row r="219" ht="15.75" customHeight="1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  <c r="AD219" s="164"/>
      <c r="AE219" s="164"/>
      <c r="AF219" s="164"/>
      <c r="AG219" s="164"/>
      <c r="AH219" s="164"/>
      <c r="AI219" s="164"/>
      <c r="AJ219" s="164"/>
      <c r="AK219" s="164"/>
      <c r="AL219" s="164"/>
      <c r="AM219" s="164"/>
      <c r="AN219" s="164"/>
      <c r="AO219" s="164"/>
      <c r="AP219" s="164"/>
      <c r="AQ219" s="164"/>
      <c r="AR219" s="164"/>
      <c r="AS219" s="164"/>
      <c r="AT219" s="164"/>
      <c r="AU219" s="164"/>
      <c r="AV219" s="164"/>
      <c r="AW219" s="164"/>
      <c r="AX219" s="164"/>
      <c r="AY219" s="164"/>
      <c r="AZ219" s="164"/>
      <c r="BA219" s="164"/>
      <c r="BB219" s="164"/>
      <c r="BC219" s="164"/>
      <c r="BD219" s="164"/>
      <c r="BE219" s="164"/>
      <c r="BF219" s="164"/>
      <c r="BG219" s="164"/>
      <c r="BH219" s="164"/>
      <c r="BI219" s="164"/>
    </row>
    <row r="220" ht="15.75" customHeight="1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  <c r="AD220" s="164"/>
      <c r="AE220" s="164"/>
      <c r="AF220" s="164"/>
      <c r="AG220" s="164"/>
      <c r="AH220" s="164"/>
      <c r="AI220" s="164"/>
      <c r="AJ220" s="164"/>
      <c r="AK220" s="164"/>
      <c r="AL220" s="164"/>
      <c r="AM220" s="164"/>
      <c r="AN220" s="164"/>
      <c r="AO220" s="164"/>
      <c r="AP220" s="164"/>
      <c r="AQ220" s="164"/>
      <c r="AR220" s="164"/>
      <c r="AS220" s="164"/>
      <c r="AT220" s="164"/>
      <c r="AU220" s="164"/>
      <c r="AV220" s="164"/>
      <c r="AW220" s="164"/>
      <c r="AX220" s="164"/>
      <c r="AY220" s="164"/>
      <c r="AZ220" s="164"/>
      <c r="BA220" s="164"/>
      <c r="BB220" s="164"/>
      <c r="BC220" s="164"/>
      <c r="BD220" s="164"/>
      <c r="BE220" s="164"/>
      <c r="BF220" s="164"/>
      <c r="BG220" s="164"/>
      <c r="BH220" s="164"/>
      <c r="BI220" s="164"/>
    </row>
    <row r="221" ht="15.75" customHeight="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  <c r="AD221" s="164"/>
      <c r="AE221" s="164"/>
      <c r="AF221" s="164"/>
      <c r="AG221" s="164"/>
      <c r="AH221" s="164"/>
      <c r="AI221" s="164"/>
      <c r="AJ221" s="164"/>
      <c r="AK221" s="164"/>
      <c r="AL221" s="164"/>
      <c r="AM221" s="164"/>
      <c r="AN221" s="164"/>
      <c r="AO221" s="164"/>
      <c r="AP221" s="164"/>
      <c r="AQ221" s="164"/>
      <c r="AR221" s="164"/>
      <c r="AS221" s="164"/>
      <c r="AT221" s="164"/>
      <c r="AU221" s="164"/>
      <c r="AV221" s="164"/>
      <c r="AW221" s="164"/>
      <c r="AX221" s="164"/>
      <c r="AY221" s="164"/>
      <c r="AZ221" s="164"/>
      <c r="BA221" s="164"/>
      <c r="BB221" s="164"/>
      <c r="BC221" s="164"/>
      <c r="BD221" s="164"/>
      <c r="BE221" s="164"/>
      <c r="BF221" s="164"/>
      <c r="BG221" s="164"/>
      <c r="BH221" s="164"/>
      <c r="BI221" s="164"/>
    </row>
    <row r="222" ht="15.75" customHeight="1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  <c r="AE222" s="164"/>
      <c r="AF222" s="164"/>
      <c r="AG222" s="164"/>
      <c r="AH222" s="164"/>
      <c r="AI222" s="164"/>
      <c r="AJ222" s="164"/>
      <c r="AK222" s="164"/>
      <c r="AL222" s="164"/>
      <c r="AM222" s="164"/>
      <c r="AN222" s="164"/>
      <c r="AO222" s="164"/>
      <c r="AP222" s="164"/>
      <c r="AQ222" s="164"/>
      <c r="AR222" s="164"/>
      <c r="AS222" s="164"/>
      <c r="AT222" s="164"/>
      <c r="AU222" s="164"/>
      <c r="AV222" s="164"/>
      <c r="AW222" s="164"/>
      <c r="AX222" s="164"/>
      <c r="AY222" s="164"/>
      <c r="AZ222" s="164"/>
      <c r="BA222" s="164"/>
      <c r="BB222" s="164"/>
      <c r="BC222" s="164"/>
      <c r="BD222" s="164"/>
      <c r="BE222" s="164"/>
      <c r="BF222" s="164"/>
      <c r="BG222" s="164"/>
      <c r="BH222" s="164"/>
      <c r="BI222" s="164"/>
    </row>
    <row r="223" ht="15.75" customHeight="1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  <c r="AE223" s="164"/>
      <c r="AF223" s="164"/>
      <c r="AG223" s="164"/>
      <c r="AH223" s="164"/>
      <c r="AI223" s="164"/>
      <c r="AJ223" s="164"/>
      <c r="AK223" s="164"/>
      <c r="AL223" s="164"/>
      <c r="AM223" s="164"/>
      <c r="AN223" s="164"/>
      <c r="AO223" s="164"/>
      <c r="AP223" s="164"/>
      <c r="AQ223" s="164"/>
      <c r="AR223" s="164"/>
      <c r="AS223" s="164"/>
      <c r="AT223" s="164"/>
      <c r="AU223" s="164"/>
      <c r="AV223" s="164"/>
      <c r="AW223" s="164"/>
      <c r="AX223" s="164"/>
      <c r="AY223" s="164"/>
      <c r="AZ223" s="164"/>
      <c r="BA223" s="164"/>
      <c r="BB223" s="164"/>
      <c r="BC223" s="164"/>
      <c r="BD223" s="164"/>
      <c r="BE223" s="164"/>
      <c r="BF223" s="164"/>
      <c r="BG223" s="164"/>
      <c r="BH223" s="164"/>
      <c r="BI223" s="164"/>
    </row>
    <row r="224" ht="15.75" customHeight="1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  <c r="AE224" s="164"/>
      <c r="AF224" s="164"/>
      <c r="AG224" s="164"/>
      <c r="AH224" s="164"/>
      <c r="AI224" s="164"/>
      <c r="AJ224" s="164"/>
      <c r="AK224" s="164"/>
      <c r="AL224" s="164"/>
      <c r="AM224" s="164"/>
      <c r="AN224" s="164"/>
      <c r="AO224" s="164"/>
      <c r="AP224" s="164"/>
      <c r="AQ224" s="164"/>
      <c r="AR224" s="164"/>
      <c r="AS224" s="164"/>
      <c r="AT224" s="164"/>
      <c r="AU224" s="164"/>
      <c r="AV224" s="164"/>
      <c r="AW224" s="164"/>
      <c r="AX224" s="164"/>
      <c r="AY224" s="164"/>
      <c r="AZ224" s="164"/>
      <c r="BA224" s="164"/>
      <c r="BB224" s="164"/>
      <c r="BC224" s="164"/>
      <c r="BD224" s="164"/>
      <c r="BE224" s="164"/>
      <c r="BF224" s="164"/>
      <c r="BG224" s="164"/>
      <c r="BH224" s="164"/>
      <c r="BI224" s="164"/>
    </row>
    <row r="225" ht="15.75" customHeight="1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  <c r="AD225" s="164"/>
      <c r="AE225" s="164"/>
      <c r="AF225" s="164"/>
      <c r="AG225" s="164"/>
      <c r="AH225" s="164"/>
      <c r="AI225" s="164"/>
      <c r="AJ225" s="164"/>
      <c r="AK225" s="164"/>
      <c r="AL225" s="164"/>
      <c r="AM225" s="164"/>
      <c r="AN225" s="164"/>
      <c r="AO225" s="164"/>
      <c r="AP225" s="164"/>
      <c r="AQ225" s="164"/>
      <c r="AR225" s="164"/>
      <c r="AS225" s="164"/>
      <c r="AT225" s="164"/>
      <c r="AU225" s="164"/>
      <c r="AV225" s="164"/>
      <c r="AW225" s="164"/>
      <c r="AX225" s="164"/>
      <c r="AY225" s="164"/>
      <c r="AZ225" s="164"/>
      <c r="BA225" s="164"/>
      <c r="BB225" s="164"/>
      <c r="BC225" s="164"/>
      <c r="BD225" s="164"/>
      <c r="BE225" s="164"/>
      <c r="BF225" s="164"/>
      <c r="BG225" s="164"/>
      <c r="BH225" s="164"/>
      <c r="BI225" s="164"/>
    </row>
    <row r="226" ht="15.75" customHeight="1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  <c r="AD226" s="164"/>
      <c r="AE226" s="164"/>
      <c r="AF226" s="164"/>
      <c r="AG226" s="164"/>
      <c r="AH226" s="164"/>
      <c r="AI226" s="164"/>
      <c r="AJ226" s="164"/>
      <c r="AK226" s="164"/>
      <c r="AL226" s="164"/>
      <c r="AM226" s="164"/>
      <c r="AN226" s="164"/>
      <c r="AO226" s="164"/>
      <c r="AP226" s="164"/>
      <c r="AQ226" s="164"/>
      <c r="AR226" s="164"/>
      <c r="AS226" s="164"/>
      <c r="AT226" s="164"/>
      <c r="AU226" s="164"/>
      <c r="AV226" s="164"/>
      <c r="AW226" s="164"/>
      <c r="AX226" s="164"/>
      <c r="AY226" s="164"/>
      <c r="AZ226" s="164"/>
      <c r="BA226" s="164"/>
      <c r="BB226" s="164"/>
      <c r="BC226" s="164"/>
      <c r="BD226" s="164"/>
      <c r="BE226" s="164"/>
      <c r="BF226" s="164"/>
      <c r="BG226" s="164"/>
      <c r="BH226" s="164"/>
      <c r="BI226" s="164"/>
    </row>
    <row r="227" ht="15.75" customHeight="1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  <c r="AD227" s="164"/>
      <c r="AE227" s="164"/>
      <c r="AF227" s="164"/>
      <c r="AG227" s="164"/>
      <c r="AH227" s="164"/>
      <c r="AI227" s="164"/>
      <c r="AJ227" s="164"/>
      <c r="AK227" s="164"/>
      <c r="AL227" s="164"/>
      <c r="AM227" s="164"/>
      <c r="AN227" s="164"/>
      <c r="AO227" s="164"/>
      <c r="AP227" s="164"/>
      <c r="AQ227" s="164"/>
      <c r="AR227" s="164"/>
      <c r="AS227" s="164"/>
      <c r="AT227" s="164"/>
      <c r="AU227" s="164"/>
      <c r="AV227" s="164"/>
      <c r="AW227" s="164"/>
      <c r="AX227" s="164"/>
      <c r="AY227" s="164"/>
      <c r="AZ227" s="164"/>
      <c r="BA227" s="164"/>
      <c r="BB227" s="164"/>
      <c r="BC227" s="164"/>
      <c r="BD227" s="164"/>
      <c r="BE227" s="164"/>
      <c r="BF227" s="164"/>
      <c r="BG227" s="164"/>
      <c r="BH227" s="164"/>
      <c r="BI227" s="164"/>
    </row>
    <row r="228" ht="15.75" customHeight="1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  <c r="AE228" s="164"/>
      <c r="AF228" s="164"/>
      <c r="AG228" s="164"/>
      <c r="AH228" s="164"/>
      <c r="AI228" s="164"/>
      <c r="AJ228" s="164"/>
      <c r="AK228" s="164"/>
      <c r="AL228" s="164"/>
      <c r="AM228" s="164"/>
      <c r="AN228" s="164"/>
      <c r="AO228" s="164"/>
      <c r="AP228" s="164"/>
      <c r="AQ228" s="164"/>
      <c r="AR228" s="164"/>
      <c r="AS228" s="164"/>
      <c r="AT228" s="164"/>
      <c r="AU228" s="164"/>
      <c r="AV228" s="164"/>
      <c r="AW228" s="164"/>
      <c r="AX228" s="164"/>
      <c r="AY228" s="164"/>
      <c r="AZ228" s="164"/>
      <c r="BA228" s="164"/>
      <c r="BB228" s="164"/>
      <c r="BC228" s="164"/>
      <c r="BD228" s="164"/>
      <c r="BE228" s="164"/>
      <c r="BF228" s="164"/>
      <c r="BG228" s="164"/>
      <c r="BH228" s="164"/>
      <c r="BI228" s="164"/>
    </row>
    <row r="229" ht="15.75" customHeight="1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  <c r="AE229" s="164"/>
      <c r="AF229" s="164"/>
      <c r="AG229" s="164"/>
      <c r="AH229" s="164"/>
      <c r="AI229" s="164"/>
      <c r="AJ229" s="164"/>
      <c r="AK229" s="164"/>
      <c r="AL229" s="164"/>
      <c r="AM229" s="164"/>
      <c r="AN229" s="164"/>
      <c r="AO229" s="164"/>
      <c r="AP229" s="164"/>
      <c r="AQ229" s="164"/>
      <c r="AR229" s="164"/>
      <c r="AS229" s="164"/>
      <c r="AT229" s="164"/>
      <c r="AU229" s="164"/>
      <c r="AV229" s="164"/>
      <c r="AW229" s="164"/>
      <c r="AX229" s="164"/>
      <c r="AY229" s="164"/>
      <c r="AZ229" s="164"/>
      <c r="BA229" s="164"/>
      <c r="BB229" s="164"/>
      <c r="BC229" s="164"/>
      <c r="BD229" s="164"/>
      <c r="BE229" s="164"/>
      <c r="BF229" s="164"/>
      <c r="BG229" s="164"/>
      <c r="BH229" s="164"/>
      <c r="BI229" s="164"/>
    </row>
    <row r="230" ht="15.75" customHeight="1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  <c r="AD230" s="164"/>
      <c r="AE230" s="164"/>
      <c r="AF230" s="164"/>
      <c r="AG230" s="164"/>
      <c r="AH230" s="164"/>
      <c r="AI230" s="164"/>
      <c r="AJ230" s="164"/>
      <c r="AK230" s="164"/>
      <c r="AL230" s="164"/>
      <c r="AM230" s="164"/>
      <c r="AN230" s="164"/>
      <c r="AO230" s="164"/>
      <c r="AP230" s="164"/>
      <c r="AQ230" s="164"/>
      <c r="AR230" s="164"/>
      <c r="AS230" s="164"/>
      <c r="AT230" s="164"/>
      <c r="AU230" s="164"/>
      <c r="AV230" s="164"/>
      <c r="AW230" s="164"/>
      <c r="AX230" s="164"/>
      <c r="AY230" s="164"/>
      <c r="AZ230" s="164"/>
      <c r="BA230" s="164"/>
      <c r="BB230" s="164"/>
      <c r="BC230" s="164"/>
      <c r="BD230" s="164"/>
      <c r="BE230" s="164"/>
      <c r="BF230" s="164"/>
      <c r="BG230" s="164"/>
      <c r="BH230" s="164"/>
      <c r="BI230" s="164"/>
    </row>
    <row r="231" ht="15.75" customHeight="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  <c r="AD231" s="164"/>
      <c r="AE231" s="164"/>
      <c r="AF231" s="164"/>
      <c r="AG231" s="164"/>
      <c r="AH231" s="164"/>
      <c r="AI231" s="164"/>
      <c r="AJ231" s="164"/>
      <c r="AK231" s="164"/>
      <c r="AL231" s="164"/>
      <c r="AM231" s="164"/>
      <c r="AN231" s="164"/>
      <c r="AO231" s="164"/>
      <c r="AP231" s="164"/>
      <c r="AQ231" s="164"/>
      <c r="AR231" s="164"/>
      <c r="AS231" s="164"/>
      <c r="AT231" s="164"/>
      <c r="AU231" s="164"/>
      <c r="AV231" s="164"/>
      <c r="AW231" s="164"/>
      <c r="AX231" s="164"/>
      <c r="AY231" s="164"/>
      <c r="AZ231" s="164"/>
      <c r="BA231" s="164"/>
      <c r="BB231" s="164"/>
      <c r="BC231" s="164"/>
      <c r="BD231" s="164"/>
      <c r="BE231" s="164"/>
      <c r="BF231" s="164"/>
      <c r="BG231" s="164"/>
      <c r="BH231" s="164"/>
      <c r="BI231" s="164"/>
    </row>
    <row r="232" ht="15.75" customHeight="1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  <c r="AD232" s="164"/>
      <c r="AE232" s="164"/>
      <c r="AF232" s="164"/>
      <c r="AG232" s="164"/>
      <c r="AH232" s="164"/>
      <c r="AI232" s="164"/>
      <c r="AJ232" s="164"/>
      <c r="AK232" s="164"/>
      <c r="AL232" s="164"/>
      <c r="AM232" s="164"/>
      <c r="AN232" s="164"/>
      <c r="AO232" s="164"/>
      <c r="AP232" s="164"/>
      <c r="AQ232" s="164"/>
      <c r="AR232" s="164"/>
      <c r="AS232" s="164"/>
      <c r="AT232" s="164"/>
      <c r="AU232" s="164"/>
      <c r="AV232" s="164"/>
      <c r="AW232" s="164"/>
      <c r="AX232" s="164"/>
      <c r="AY232" s="164"/>
      <c r="AZ232" s="164"/>
      <c r="BA232" s="164"/>
      <c r="BB232" s="164"/>
      <c r="BC232" s="164"/>
      <c r="BD232" s="164"/>
      <c r="BE232" s="164"/>
      <c r="BF232" s="164"/>
      <c r="BG232" s="164"/>
      <c r="BH232" s="164"/>
      <c r="BI232" s="164"/>
    </row>
    <row r="233" ht="15.75" customHeight="1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  <c r="AD233" s="164"/>
      <c r="AE233" s="164"/>
      <c r="AF233" s="164"/>
      <c r="AG233" s="164"/>
      <c r="AH233" s="164"/>
      <c r="AI233" s="164"/>
      <c r="AJ233" s="164"/>
      <c r="AK233" s="164"/>
      <c r="AL233" s="164"/>
      <c r="AM233" s="164"/>
      <c r="AN233" s="164"/>
      <c r="AO233" s="164"/>
      <c r="AP233" s="164"/>
      <c r="AQ233" s="164"/>
      <c r="AR233" s="164"/>
      <c r="AS233" s="164"/>
      <c r="AT233" s="164"/>
      <c r="AU233" s="164"/>
      <c r="AV233" s="164"/>
      <c r="AW233" s="164"/>
      <c r="AX233" s="164"/>
      <c r="AY233" s="164"/>
      <c r="AZ233" s="164"/>
      <c r="BA233" s="164"/>
      <c r="BB233" s="164"/>
      <c r="BC233" s="164"/>
      <c r="BD233" s="164"/>
      <c r="BE233" s="164"/>
      <c r="BF233" s="164"/>
      <c r="BG233" s="164"/>
      <c r="BH233" s="164"/>
      <c r="BI233" s="164"/>
    </row>
    <row r="234" ht="15.75" customHeight="1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  <c r="AD234" s="164"/>
      <c r="AE234" s="164"/>
      <c r="AF234" s="164"/>
      <c r="AG234" s="164"/>
      <c r="AH234" s="164"/>
      <c r="AI234" s="164"/>
      <c r="AJ234" s="164"/>
      <c r="AK234" s="164"/>
      <c r="AL234" s="164"/>
      <c r="AM234" s="164"/>
      <c r="AN234" s="164"/>
      <c r="AO234" s="164"/>
      <c r="AP234" s="164"/>
      <c r="AQ234" s="164"/>
      <c r="AR234" s="164"/>
      <c r="AS234" s="164"/>
      <c r="AT234" s="164"/>
      <c r="AU234" s="164"/>
      <c r="AV234" s="164"/>
      <c r="AW234" s="164"/>
      <c r="AX234" s="164"/>
      <c r="AY234" s="164"/>
      <c r="AZ234" s="164"/>
      <c r="BA234" s="164"/>
      <c r="BB234" s="164"/>
      <c r="BC234" s="164"/>
      <c r="BD234" s="164"/>
      <c r="BE234" s="164"/>
      <c r="BF234" s="164"/>
      <c r="BG234" s="164"/>
      <c r="BH234" s="164"/>
      <c r="BI234" s="164"/>
    </row>
    <row r="235" ht="15.75" customHeight="1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  <c r="AD235" s="164"/>
      <c r="AE235" s="164"/>
      <c r="AF235" s="164"/>
      <c r="AG235" s="164"/>
      <c r="AH235" s="164"/>
      <c r="AI235" s="164"/>
      <c r="AJ235" s="164"/>
      <c r="AK235" s="164"/>
      <c r="AL235" s="164"/>
      <c r="AM235" s="164"/>
      <c r="AN235" s="164"/>
      <c r="AO235" s="164"/>
      <c r="AP235" s="164"/>
      <c r="AQ235" s="164"/>
      <c r="AR235" s="164"/>
      <c r="AS235" s="164"/>
      <c r="AT235" s="164"/>
      <c r="AU235" s="164"/>
      <c r="AV235" s="164"/>
      <c r="AW235" s="164"/>
      <c r="AX235" s="164"/>
      <c r="AY235" s="164"/>
      <c r="AZ235" s="164"/>
      <c r="BA235" s="164"/>
      <c r="BB235" s="164"/>
      <c r="BC235" s="164"/>
      <c r="BD235" s="164"/>
      <c r="BE235" s="164"/>
      <c r="BF235" s="164"/>
      <c r="BG235" s="164"/>
      <c r="BH235" s="164"/>
      <c r="BI235" s="164"/>
    </row>
    <row r="236" ht="15.75" customHeight="1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  <c r="AD236" s="164"/>
      <c r="AE236" s="164"/>
      <c r="AF236" s="164"/>
      <c r="AG236" s="164"/>
      <c r="AH236" s="164"/>
      <c r="AI236" s="164"/>
      <c r="AJ236" s="164"/>
      <c r="AK236" s="164"/>
      <c r="AL236" s="164"/>
      <c r="AM236" s="164"/>
      <c r="AN236" s="164"/>
      <c r="AO236" s="164"/>
      <c r="AP236" s="164"/>
      <c r="AQ236" s="164"/>
      <c r="AR236" s="164"/>
      <c r="AS236" s="164"/>
      <c r="AT236" s="164"/>
      <c r="AU236" s="164"/>
      <c r="AV236" s="164"/>
      <c r="AW236" s="164"/>
      <c r="AX236" s="164"/>
      <c r="AY236" s="164"/>
      <c r="AZ236" s="164"/>
      <c r="BA236" s="164"/>
      <c r="BB236" s="164"/>
      <c r="BC236" s="164"/>
      <c r="BD236" s="164"/>
      <c r="BE236" s="164"/>
      <c r="BF236" s="164"/>
      <c r="BG236" s="164"/>
      <c r="BH236" s="164"/>
      <c r="BI236" s="164"/>
    </row>
    <row r="237" ht="15.75" customHeight="1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  <c r="AD237" s="164"/>
      <c r="AE237" s="164"/>
      <c r="AF237" s="164"/>
      <c r="AG237" s="164"/>
      <c r="AH237" s="164"/>
      <c r="AI237" s="164"/>
      <c r="AJ237" s="164"/>
      <c r="AK237" s="164"/>
      <c r="AL237" s="164"/>
      <c r="AM237" s="164"/>
      <c r="AN237" s="164"/>
      <c r="AO237" s="164"/>
      <c r="AP237" s="164"/>
      <c r="AQ237" s="164"/>
      <c r="AR237" s="164"/>
      <c r="AS237" s="164"/>
      <c r="AT237" s="164"/>
      <c r="AU237" s="164"/>
      <c r="AV237" s="164"/>
      <c r="AW237" s="164"/>
      <c r="AX237" s="164"/>
      <c r="AY237" s="164"/>
      <c r="AZ237" s="164"/>
      <c r="BA237" s="164"/>
      <c r="BB237" s="164"/>
      <c r="BC237" s="164"/>
      <c r="BD237" s="164"/>
      <c r="BE237" s="164"/>
      <c r="BF237" s="164"/>
      <c r="BG237" s="164"/>
      <c r="BH237" s="164"/>
      <c r="BI237" s="164"/>
    </row>
    <row r="238" ht="15.75" customHeight="1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  <c r="AD238" s="164"/>
      <c r="AE238" s="164"/>
      <c r="AF238" s="164"/>
      <c r="AG238" s="164"/>
      <c r="AH238" s="164"/>
      <c r="AI238" s="164"/>
      <c r="AJ238" s="164"/>
      <c r="AK238" s="164"/>
      <c r="AL238" s="164"/>
      <c r="AM238" s="164"/>
      <c r="AN238" s="164"/>
      <c r="AO238" s="164"/>
      <c r="AP238" s="164"/>
      <c r="AQ238" s="164"/>
      <c r="AR238" s="164"/>
      <c r="AS238" s="164"/>
      <c r="AT238" s="164"/>
      <c r="AU238" s="164"/>
      <c r="AV238" s="164"/>
      <c r="AW238" s="164"/>
      <c r="AX238" s="164"/>
      <c r="AY238" s="164"/>
      <c r="AZ238" s="164"/>
      <c r="BA238" s="164"/>
      <c r="BB238" s="164"/>
      <c r="BC238" s="164"/>
      <c r="BD238" s="164"/>
      <c r="BE238" s="164"/>
      <c r="BF238" s="164"/>
      <c r="BG238" s="164"/>
      <c r="BH238" s="164"/>
      <c r="BI238" s="164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">
    <mergeCell ref="E2:H2"/>
    <mergeCell ref="I2:K2"/>
    <mergeCell ref="L2:M2"/>
    <mergeCell ref="N2:Q2"/>
    <mergeCell ref="C1:G1"/>
    <mergeCell ref="H1:K1"/>
    <mergeCell ref="L1:M1"/>
    <mergeCell ref="Z1:AC2"/>
    <mergeCell ref="AX1:BA2"/>
    <mergeCell ref="C2:D2"/>
    <mergeCell ref="R2:S2"/>
    <mergeCell ref="N1:S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2025-05-30T18:58:01Z</dcterms:created>
</cp:coreProperties>
</file>