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valeriacampuzano/Documents/MEXICO EVALUA/DashboardsHallazgos/dashboardhallazgos/www/bd/"/>
    </mc:Choice>
  </mc:AlternateContent>
  <xr:revisionPtr revIDLastSave="0" documentId="13_ncr:1_{720AA805-4838-DD45-96D4-FA3349CBFBE7}" xr6:coauthVersionLast="47" xr6:coauthVersionMax="47" xr10:uidLastSave="{00000000-0000-0000-0000-000000000000}"/>
  <bookViews>
    <workbookView xWindow="0" yWindow="500" windowWidth="28800" windowHeight="16260" activeTab="6" xr2:uid="{00000000-000D-0000-FFFF-FFFF00000000}"/>
  </bookViews>
  <sheets>
    <sheet name="Categorías" sheetId="1" r:id="rId1"/>
    <sheet name="Org Coord" sheetId="2" r:id="rId2"/>
    <sheet name="Poder Judicial" sheetId="3" r:id="rId3"/>
    <sheet name="Fiscalía" sheetId="4" r:id="rId4"/>
    <sheet name="Def Pub" sheetId="5" r:id="rId5"/>
    <sheet name="Agregado" sheetId="6" r:id="rId6"/>
    <sheet name="Base de datos agregada " sheetId="7" r:id="rId7"/>
  </sheets>
  <definedNames>
    <definedName name="_xlnm._FilterDatabase" localSheetId="5" hidden="1">Agregado!$C$2:$H$34</definedName>
    <definedName name="_xlnm._FilterDatabase" localSheetId="4" hidden="1">'Def Pub'!$A$4:$S$38</definedName>
    <definedName name="_xlnm._FilterDatabase" localSheetId="3" hidden="1">Fiscalía!$A$4:$AK$38</definedName>
    <definedName name="_xlnm._FilterDatabase" localSheetId="1" hidden="1">'Org Coord'!$A$3:$B$37</definedName>
    <definedName name="_xlnm._FilterDatabase" localSheetId="2" hidden="1">'Poder Judicial'!$A$5:$AC$41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sF0gL/i+lr1KhS1sHwpvtpTU+2e+aCl5sSd0XLvUpBE="/>
    </ext>
  </extLst>
</workbook>
</file>

<file path=xl/calcChain.xml><?xml version="1.0" encoding="utf-8"?>
<calcChain xmlns="http://schemas.openxmlformats.org/spreadsheetml/2006/main">
  <c r="D37" i="7" l="1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G34" i="6" a="1"/>
  <c r="G34" i="6" s="1"/>
  <c r="F34" i="6" a="1"/>
  <c r="F34" i="6" s="1"/>
  <c r="E34" i="6" a="1"/>
  <c r="E34" i="6" s="1"/>
  <c r="D34" i="6" a="1"/>
  <c r="D34" i="6" s="1"/>
  <c r="G33" i="6" a="1"/>
  <c r="G33" i="6" s="1"/>
  <c r="F33" i="6" a="1"/>
  <c r="F33" i="6" s="1"/>
  <c r="E33" i="6" a="1"/>
  <c r="E33" i="6" s="1"/>
  <c r="D33" i="6" a="1"/>
  <c r="D33" i="6" s="1"/>
  <c r="G32" i="6" a="1"/>
  <c r="G32" i="6" s="1"/>
  <c r="F32" i="6" a="1"/>
  <c r="F32" i="6" s="1"/>
  <c r="E32" i="6" a="1"/>
  <c r="E32" i="6" s="1"/>
  <c r="D32" i="6" a="1"/>
  <c r="D32" i="6" s="1"/>
  <c r="G31" i="6" a="1"/>
  <c r="G31" i="6" s="1"/>
  <c r="F31" i="6" a="1"/>
  <c r="F31" i="6" s="1"/>
  <c r="E31" i="6" a="1"/>
  <c r="E31" i="6" s="1"/>
  <c r="D31" i="6" a="1"/>
  <c r="D31" i="6" s="1"/>
  <c r="G30" i="6" a="1"/>
  <c r="G30" i="6" s="1"/>
  <c r="F30" i="6" a="1"/>
  <c r="F30" i="6" s="1"/>
  <c r="E30" i="6" a="1"/>
  <c r="E30" i="6" s="1"/>
  <c r="D30" i="6" a="1"/>
  <c r="D30" i="6" s="1"/>
  <c r="G29" i="6" a="1"/>
  <c r="G29" i="6" s="1"/>
  <c r="F29" i="6" a="1"/>
  <c r="F29" i="6" s="1"/>
  <c r="E29" i="6" a="1"/>
  <c r="E29" i="6" s="1"/>
  <c r="D29" i="6" a="1"/>
  <c r="D29" i="6" s="1"/>
  <c r="G28" i="6" a="1"/>
  <c r="G28" i="6" s="1"/>
  <c r="F28" i="6" a="1"/>
  <c r="F28" i="6" s="1"/>
  <c r="E28" i="6" a="1"/>
  <c r="E28" i="6" s="1"/>
  <c r="D28" i="6" a="1"/>
  <c r="D28" i="6" s="1"/>
  <c r="G27" i="6" a="1"/>
  <c r="G27" i="6" s="1"/>
  <c r="F27" i="6" a="1"/>
  <c r="F27" i="6" s="1"/>
  <c r="E27" i="6" a="1"/>
  <c r="E27" i="6" s="1"/>
  <c r="D27" i="6" a="1"/>
  <c r="D27" i="6" s="1"/>
  <c r="G26" i="6" a="1"/>
  <c r="G26" i="6" s="1"/>
  <c r="F26" i="6" a="1"/>
  <c r="F26" i="6" s="1"/>
  <c r="E26" i="6" a="1"/>
  <c r="E26" i="6" s="1"/>
  <c r="D26" i="6" a="1"/>
  <c r="D26" i="6" s="1"/>
  <c r="G25" i="6" a="1"/>
  <c r="G25" i="6" s="1"/>
  <c r="F25" i="6" a="1"/>
  <c r="F25" i="6" s="1"/>
  <c r="E25" i="6" a="1"/>
  <c r="E25" i="6" s="1"/>
  <c r="D25" i="6" a="1"/>
  <c r="D25" i="6" s="1"/>
  <c r="G24" i="6" a="1"/>
  <c r="G24" i="6" s="1"/>
  <c r="F24" i="6" a="1"/>
  <c r="F24" i="6" s="1"/>
  <c r="E24" i="6" a="1"/>
  <c r="E24" i="6" s="1"/>
  <c r="D24" i="6" a="1"/>
  <c r="D24" i="6" s="1"/>
  <c r="G23" i="6" a="1"/>
  <c r="G23" i="6" s="1"/>
  <c r="F23" i="6" a="1"/>
  <c r="F23" i="6" s="1"/>
  <c r="E23" i="6" a="1"/>
  <c r="E23" i="6" s="1"/>
  <c r="D23" i="6" a="1"/>
  <c r="D23" i="6" s="1"/>
  <c r="G22" i="6" a="1"/>
  <c r="G22" i="6" s="1"/>
  <c r="F22" i="6" a="1"/>
  <c r="F22" i="6" s="1"/>
  <c r="E22" i="6" a="1"/>
  <c r="E22" i="6" s="1"/>
  <c r="D22" i="6" a="1"/>
  <c r="D22" i="6" s="1"/>
  <c r="G21" i="6" a="1"/>
  <c r="G21" i="6" s="1"/>
  <c r="F21" i="6" a="1"/>
  <c r="F21" i="6" s="1"/>
  <c r="E21" i="6" a="1"/>
  <c r="E21" i="6" s="1"/>
  <c r="D21" i="6" a="1"/>
  <c r="D21" i="6" s="1"/>
  <c r="G20" i="6" a="1"/>
  <c r="G20" i="6" s="1"/>
  <c r="F20" i="6" a="1"/>
  <c r="F20" i="6"/>
  <c r="E20" i="6" a="1"/>
  <c r="E20" i="6" s="1"/>
  <c r="D20" i="6" a="1"/>
  <c r="D20" i="6" s="1"/>
  <c r="G19" i="6" a="1"/>
  <c r="G19" i="6" s="1"/>
  <c r="F19" i="6" a="1"/>
  <c r="F19" i="6" s="1"/>
  <c r="E19" i="6" a="1"/>
  <c r="E19" i="6" s="1"/>
  <c r="D19" i="6" a="1"/>
  <c r="D19" i="6" s="1"/>
  <c r="G18" i="6" a="1"/>
  <c r="G18" i="6" s="1"/>
  <c r="F18" i="6" a="1"/>
  <c r="F18" i="6" s="1"/>
  <c r="E18" i="6" a="1"/>
  <c r="E18" i="6" s="1"/>
  <c r="D18" i="6" a="1"/>
  <c r="D18" i="6" s="1"/>
  <c r="G17" i="6" a="1"/>
  <c r="G17" i="6" s="1"/>
  <c r="F17" i="6" a="1"/>
  <c r="F17" i="6" s="1"/>
  <c r="E17" i="6" a="1"/>
  <c r="E17" i="6" s="1"/>
  <c r="D17" i="6" a="1"/>
  <c r="D17" i="6" s="1"/>
  <c r="G16" i="6" a="1"/>
  <c r="G16" i="6" s="1"/>
  <c r="F16" i="6" a="1"/>
  <c r="F16" i="6" s="1"/>
  <c r="E16" i="6" a="1"/>
  <c r="E16" i="6" s="1"/>
  <c r="D16" i="6" a="1"/>
  <c r="D16" i="6" s="1"/>
  <c r="G15" i="6" a="1"/>
  <c r="G15" i="6" s="1"/>
  <c r="F15" i="6" a="1"/>
  <c r="F15" i="6" s="1"/>
  <c r="E15" i="6" a="1"/>
  <c r="E15" i="6" s="1"/>
  <c r="D15" i="6" a="1"/>
  <c r="D15" i="6" s="1"/>
  <c r="G14" i="6" a="1"/>
  <c r="G14" i="6" s="1"/>
  <c r="F14" i="6" a="1"/>
  <c r="F14" i="6" s="1"/>
  <c r="E14" i="6" a="1"/>
  <c r="E14" i="6" s="1"/>
  <c r="D14" i="6" a="1"/>
  <c r="D14" i="6" s="1"/>
  <c r="G13" i="6" a="1"/>
  <c r="G13" i="6" s="1"/>
  <c r="F13" i="6" a="1"/>
  <c r="F13" i="6" s="1"/>
  <c r="E13" i="6" a="1"/>
  <c r="E13" i="6" s="1"/>
  <c r="D13" i="6" a="1"/>
  <c r="D13" i="6" s="1"/>
  <c r="G12" i="6" a="1"/>
  <c r="G12" i="6"/>
  <c r="F12" i="6" a="1"/>
  <c r="F12" i="6" s="1"/>
  <c r="E12" i="6" a="1"/>
  <c r="E12" i="6" s="1"/>
  <c r="D12" i="6" a="1"/>
  <c r="D12" i="6" s="1"/>
  <c r="G11" i="6" a="1"/>
  <c r="G11" i="6" s="1"/>
  <c r="F11" i="6" a="1"/>
  <c r="F11" i="6" s="1"/>
  <c r="E11" i="6" a="1"/>
  <c r="E11" i="6" s="1"/>
  <c r="D11" i="6" a="1"/>
  <c r="D11" i="6"/>
  <c r="G10" i="6" a="1"/>
  <c r="G10" i="6" s="1"/>
  <c r="F10" i="6" a="1"/>
  <c r="F10" i="6" s="1"/>
  <c r="E10" i="6" a="1"/>
  <c r="E10" i="6" s="1"/>
  <c r="D10" i="6" a="1"/>
  <c r="D10" i="6" s="1"/>
  <c r="G9" i="6" a="1"/>
  <c r="G9" i="6" s="1"/>
  <c r="F9" i="6" a="1"/>
  <c r="F9" i="6" s="1"/>
  <c r="E9" i="6" a="1"/>
  <c r="E9" i="6" s="1"/>
  <c r="D9" i="6" a="1"/>
  <c r="D9" i="6" s="1"/>
  <c r="G8" i="6" a="1"/>
  <c r="G8" i="6" s="1"/>
  <c r="F8" i="6" a="1"/>
  <c r="F8" i="6" s="1"/>
  <c r="E8" i="6" a="1"/>
  <c r="E8" i="6" s="1"/>
  <c r="D8" i="6" a="1"/>
  <c r="D8" i="6" s="1"/>
  <c r="G7" i="6" a="1"/>
  <c r="G7" i="6" s="1"/>
  <c r="F7" i="6" a="1"/>
  <c r="F7" i="6" s="1"/>
  <c r="E7" i="6" a="1"/>
  <c r="E7" i="6" s="1"/>
  <c r="D7" i="6" a="1"/>
  <c r="D7" i="6" s="1"/>
  <c r="G6" i="6" a="1"/>
  <c r="G6" i="6" s="1"/>
  <c r="F6" i="6" a="1"/>
  <c r="F6" i="6" s="1"/>
  <c r="E6" i="6" a="1"/>
  <c r="E6" i="6" s="1"/>
  <c r="D6" i="6" a="1"/>
  <c r="D6" i="6" s="1"/>
  <c r="G5" i="6" a="1"/>
  <c r="G5" i="6" s="1"/>
  <c r="F5" i="6" a="1"/>
  <c r="F5" i="6" s="1"/>
  <c r="E5" i="6" a="1"/>
  <c r="E5" i="6" s="1"/>
  <c r="D5" i="6" a="1"/>
  <c r="D5" i="6" s="1"/>
  <c r="G4" i="6" a="1"/>
  <c r="G4" i="6" s="1"/>
  <c r="F4" i="6" a="1"/>
  <c r="F4" i="6" s="1"/>
  <c r="E4" i="6" a="1"/>
  <c r="E4" i="6" s="1"/>
  <c r="D4" i="6" a="1"/>
  <c r="D4" i="6" s="1"/>
  <c r="G3" i="6" a="1"/>
  <c r="G3" i="6" s="1"/>
  <c r="G36" i="6" s="1"/>
  <c r="F3" i="6" a="1"/>
  <c r="F3" i="6" s="1"/>
  <c r="F36" i="6" s="1"/>
  <c r="E3" i="6" a="1"/>
  <c r="E3" i="6" s="1"/>
  <c r="E36" i="6" s="1"/>
  <c r="D3" i="6" a="1"/>
  <c r="D3" i="6" s="1"/>
  <c r="H1" i="6"/>
  <c r="N38" i="5"/>
  <c r="Q38" i="5" s="1"/>
  <c r="M38" i="5"/>
  <c r="E38" i="5"/>
  <c r="G38" i="5" s="1"/>
  <c r="D38" i="5"/>
  <c r="F38" i="5" s="1"/>
  <c r="C38" i="5"/>
  <c r="B38" i="5"/>
  <c r="J37" i="5"/>
  <c r="I37" i="5"/>
  <c r="G37" i="5"/>
  <c r="F37" i="5"/>
  <c r="G36" i="5"/>
  <c r="J36" i="5" s="1"/>
  <c r="F36" i="5"/>
  <c r="Q35" i="5"/>
  <c r="G35" i="5"/>
  <c r="F35" i="5"/>
  <c r="J34" i="5"/>
  <c r="G34" i="5"/>
  <c r="F34" i="5"/>
  <c r="O33" i="5"/>
  <c r="P33" i="5" s="1"/>
  <c r="I33" i="5"/>
  <c r="G33" i="5"/>
  <c r="F33" i="5"/>
  <c r="G32" i="5"/>
  <c r="F32" i="5"/>
  <c r="G31" i="5"/>
  <c r="F31" i="5"/>
  <c r="G30" i="5"/>
  <c r="F30" i="5"/>
  <c r="J29" i="5"/>
  <c r="I29" i="5"/>
  <c r="G29" i="5"/>
  <c r="F29" i="5"/>
  <c r="J28" i="5"/>
  <c r="G28" i="5"/>
  <c r="F28" i="5"/>
  <c r="G27" i="5"/>
  <c r="F27" i="5"/>
  <c r="Q26" i="5"/>
  <c r="G26" i="5"/>
  <c r="J26" i="5" s="1"/>
  <c r="F26" i="5"/>
  <c r="J25" i="5"/>
  <c r="G25" i="5"/>
  <c r="F25" i="5"/>
  <c r="G24" i="5"/>
  <c r="J24" i="5" s="1"/>
  <c r="F24" i="5"/>
  <c r="I23" i="5"/>
  <c r="G23" i="5"/>
  <c r="F23" i="5"/>
  <c r="G22" i="5"/>
  <c r="F22" i="5"/>
  <c r="O21" i="5"/>
  <c r="P21" i="5" s="1"/>
  <c r="J21" i="5"/>
  <c r="G21" i="5"/>
  <c r="F21" i="5"/>
  <c r="O20" i="5"/>
  <c r="P20" i="5" s="1"/>
  <c r="G20" i="5"/>
  <c r="F20" i="5"/>
  <c r="J20" i="5" s="1"/>
  <c r="O19" i="5"/>
  <c r="P19" i="5" s="1"/>
  <c r="G19" i="5"/>
  <c r="F19" i="5"/>
  <c r="J18" i="5"/>
  <c r="G18" i="5"/>
  <c r="F18" i="5"/>
  <c r="Q17" i="5"/>
  <c r="G17" i="5"/>
  <c r="F17" i="5"/>
  <c r="O16" i="5"/>
  <c r="P16" i="5" s="1"/>
  <c r="G16" i="5"/>
  <c r="I16" i="5" s="1"/>
  <c r="F16" i="5"/>
  <c r="J16" i="5" s="1"/>
  <c r="Q15" i="5"/>
  <c r="G15" i="5"/>
  <c r="F15" i="5"/>
  <c r="O14" i="5"/>
  <c r="G14" i="5"/>
  <c r="F14" i="5"/>
  <c r="Q13" i="5"/>
  <c r="J13" i="5"/>
  <c r="I13" i="5"/>
  <c r="G13" i="5"/>
  <c r="F13" i="5"/>
  <c r="Q12" i="5"/>
  <c r="O12" i="5"/>
  <c r="P12" i="5" s="1"/>
  <c r="J12" i="5"/>
  <c r="G12" i="5"/>
  <c r="F12" i="5"/>
  <c r="J11" i="5"/>
  <c r="G11" i="5"/>
  <c r="F11" i="5"/>
  <c r="J10" i="5"/>
  <c r="I10" i="5"/>
  <c r="G10" i="5"/>
  <c r="F10" i="5"/>
  <c r="O9" i="5"/>
  <c r="P9" i="5" s="1"/>
  <c r="J9" i="5"/>
  <c r="G9" i="5"/>
  <c r="F9" i="5"/>
  <c r="O8" i="5"/>
  <c r="P8" i="5" s="1"/>
  <c r="G8" i="5"/>
  <c r="F8" i="5"/>
  <c r="I7" i="5"/>
  <c r="G7" i="5"/>
  <c r="J7" i="5" s="1"/>
  <c r="F7" i="5"/>
  <c r="J6" i="5"/>
  <c r="I6" i="5"/>
  <c r="G6" i="5"/>
  <c r="F6" i="5"/>
  <c r="U3" i="5"/>
  <c r="O3" i="5"/>
  <c r="O36" i="5" s="1"/>
  <c r="P36" i="5" s="1"/>
  <c r="O2" i="5"/>
  <c r="O15" i="5" s="1"/>
  <c r="P15" i="5" s="1"/>
  <c r="N38" i="4"/>
  <c r="M38" i="4"/>
  <c r="G38" i="4"/>
  <c r="J38" i="4" s="1"/>
  <c r="E38" i="4"/>
  <c r="D38" i="4"/>
  <c r="F38" i="4" s="1"/>
  <c r="C38" i="4"/>
  <c r="B38" i="4"/>
  <c r="AG37" i="4"/>
  <c r="AI37" i="4" s="1"/>
  <c r="Q37" i="4"/>
  <c r="G37" i="4"/>
  <c r="J37" i="4" s="1"/>
  <c r="F37" i="4"/>
  <c r="AG36" i="4"/>
  <c r="Q36" i="4"/>
  <c r="G36" i="4"/>
  <c r="J36" i="4" s="1"/>
  <c r="F36" i="4"/>
  <c r="AG35" i="4"/>
  <c r="Q35" i="4"/>
  <c r="G35" i="4"/>
  <c r="J35" i="4" s="1"/>
  <c r="F35" i="4"/>
  <c r="AI34" i="4"/>
  <c r="AG34" i="4"/>
  <c r="Q34" i="4"/>
  <c r="J34" i="4"/>
  <c r="G34" i="4"/>
  <c r="F34" i="4"/>
  <c r="AI33" i="4"/>
  <c r="AG33" i="4"/>
  <c r="Q33" i="4"/>
  <c r="J33" i="4"/>
  <c r="G33" i="4"/>
  <c r="F33" i="4"/>
  <c r="AG32" i="4"/>
  <c r="Q32" i="4"/>
  <c r="G32" i="4"/>
  <c r="F32" i="4"/>
  <c r="AG31" i="4"/>
  <c r="Q31" i="4"/>
  <c r="G31" i="4"/>
  <c r="F31" i="4"/>
  <c r="AG30" i="4"/>
  <c r="Q30" i="4"/>
  <c r="J30" i="4"/>
  <c r="G30" i="4"/>
  <c r="F30" i="4"/>
  <c r="AG29" i="4"/>
  <c r="AI29" i="4" s="1"/>
  <c r="Q29" i="4"/>
  <c r="F29" i="4"/>
  <c r="AI28" i="4"/>
  <c r="AG28" i="4"/>
  <c r="Q28" i="4"/>
  <c r="J28" i="4"/>
  <c r="G28" i="4"/>
  <c r="F28" i="4"/>
  <c r="AG27" i="4"/>
  <c r="Q27" i="4"/>
  <c r="G27" i="4"/>
  <c r="J27" i="4" s="1"/>
  <c r="F27" i="4"/>
  <c r="AG26" i="4"/>
  <c r="Q26" i="4"/>
  <c r="G26" i="4"/>
  <c r="F26" i="4"/>
  <c r="AI25" i="4"/>
  <c r="AG25" i="4"/>
  <c r="Q25" i="4"/>
  <c r="J25" i="4"/>
  <c r="G25" i="4"/>
  <c r="F25" i="4"/>
  <c r="AI24" i="4"/>
  <c r="AG24" i="4"/>
  <c r="Q24" i="4"/>
  <c r="J24" i="4"/>
  <c r="G24" i="4"/>
  <c r="F24" i="4"/>
  <c r="AG23" i="4"/>
  <c r="Q23" i="4"/>
  <c r="G23" i="4"/>
  <c r="F23" i="4"/>
  <c r="AG22" i="4"/>
  <c r="AI22" i="4" s="1"/>
  <c r="Q22" i="4"/>
  <c r="G22" i="4"/>
  <c r="J22" i="4" s="1"/>
  <c r="F22" i="4"/>
  <c r="AG21" i="4"/>
  <c r="Q21" i="4"/>
  <c r="G21" i="4"/>
  <c r="J21" i="4" s="1"/>
  <c r="F21" i="4"/>
  <c r="AG20" i="4"/>
  <c r="AI20" i="4" s="1"/>
  <c r="Q20" i="4"/>
  <c r="O20" i="4"/>
  <c r="G20" i="4"/>
  <c r="J20" i="4" s="1"/>
  <c r="F20" i="4"/>
  <c r="AG19" i="4"/>
  <c r="Q19" i="4"/>
  <c r="R3" i="4" s="1"/>
  <c r="O19" i="4"/>
  <c r="G19" i="4"/>
  <c r="F19" i="4"/>
  <c r="AG18" i="4"/>
  <c r="Q18" i="4"/>
  <c r="G18" i="4"/>
  <c r="J18" i="4" s="1"/>
  <c r="F18" i="4"/>
  <c r="AG17" i="4"/>
  <c r="Q17" i="4"/>
  <c r="G17" i="4"/>
  <c r="F17" i="4"/>
  <c r="AG16" i="4"/>
  <c r="Q16" i="4"/>
  <c r="G16" i="4"/>
  <c r="F16" i="4"/>
  <c r="AG15" i="4"/>
  <c r="Q15" i="4"/>
  <c r="G15" i="4"/>
  <c r="H2" i="4" s="1"/>
  <c r="F15" i="4"/>
  <c r="AG14" i="4"/>
  <c r="Q14" i="4"/>
  <c r="J14" i="4"/>
  <c r="G14" i="4"/>
  <c r="F14" i="4"/>
  <c r="AG13" i="4"/>
  <c r="AI13" i="4" s="1"/>
  <c r="Q13" i="4"/>
  <c r="J13" i="4"/>
  <c r="G13" i="4"/>
  <c r="F13" i="4"/>
  <c r="AI12" i="4"/>
  <c r="AG12" i="4"/>
  <c r="Q12" i="4"/>
  <c r="J12" i="4"/>
  <c r="G12" i="4"/>
  <c r="F12" i="4"/>
  <c r="AI11" i="4"/>
  <c r="AG11" i="4"/>
  <c r="Q11" i="4"/>
  <c r="J11" i="4"/>
  <c r="G11" i="4"/>
  <c r="F11" i="4"/>
  <c r="AG10" i="4"/>
  <c r="Q10" i="4"/>
  <c r="J10" i="4"/>
  <c r="G10" i="4"/>
  <c r="F10" i="4"/>
  <c r="AI9" i="4"/>
  <c r="AG9" i="4"/>
  <c r="Q9" i="4"/>
  <c r="J9" i="4"/>
  <c r="G9" i="4"/>
  <c r="F9" i="4"/>
  <c r="AG8" i="4"/>
  <c r="Q8" i="4"/>
  <c r="J8" i="4"/>
  <c r="G8" i="4"/>
  <c r="F8" i="4"/>
  <c r="AG7" i="4"/>
  <c r="Q7" i="4"/>
  <c r="J7" i="4"/>
  <c r="G7" i="4"/>
  <c r="F7" i="4"/>
  <c r="AI6" i="4"/>
  <c r="AG6" i="4"/>
  <c r="Q6" i="4"/>
  <c r="J6" i="4"/>
  <c r="G6" i="4"/>
  <c r="F6" i="4"/>
  <c r="AK3" i="4"/>
  <c r="O3" i="4"/>
  <c r="O30" i="4" s="1"/>
  <c r="O2" i="4"/>
  <c r="W39" i="3"/>
  <c r="U39" i="3"/>
  <c r="O39" i="3"/>
  <c r="N39" i="3"/>
  <c r="E39" i="3"/>
  <c r="D39" i="3"/>
  <c r="F39" i="3" s="1"/>
  <c r="C39" i="3"/>
  <c r="B39" i="3"/>
  <c r="X38" i="3"/>
  <c r="R38" i="3"/>
  <c r="J38" i="3"/>
  <c r="G38" i="3"/>
  <c r="F38" i="3"/>
  <c r="X37" i="3"/>
  <c r="R37" i="3"/>
  <c r="J37" i="3"/>
  <c r="G37" i="3"/>
  <c r="F37" i="3"/>
  <c r="X36" i="3"/>
  <c r="R36" i="3"/>
  <c r="G36" i="3"/>
  <c r="F36" i="3"/>
  <c r="J36" i="3" s="1"/>
  <c r="X35" i="3"/>
  <c r="R35" i="3"/>
  <c r="G35" i="3"/>
  <c r="F35" i="3"/>
  <c r="X34" i="3"/>
  <c r="R34" i="3"/>
  <c r="P34" i="3"/>
  <c r="Q34" i="3" s="1"/>
  <c r="G34" i="3"/>
  <c r="F34" i="3"/>
  <c r="X33" i="3"/>
  <c r="R33" i="3"/>
  <c r="P33" i="3"/>
  <c r="G33" i="3"/>
  <c r="F33" i="3"/>
  <c r="X32" i="3"/>
  <c r="R32" i="3"/>
  <c r="J32" i="3"/>
  <c r="G32" i="3"/>
  <c r="F32" i="3"/>
  <c r="X31" i="3"/>
  <c r="R31" i="3"/>
  <c r="G31" i="3"/>
  <c r="J31" i="3" s="1"/>
  <c r="F31" i="3"/>
  <c r="X30" i="3"/>
  <c r="R30" i="3"/>
  <c r="G30" i="3"/>
  <c r="J30" i="3" s="1"/>
  <c r="F30" i="3"/>
  <c r="X29" i="3"/>
  <c r="R29" i="3"/>
  <c r="G29" i="3"/>
  <c r="F29" i="3"/>
  <c r="J29" i="3" s="1"/>
  <c r="X28" i="3"/>
  <c r="R28" i="3"/>
  <c r="G28" i="3"/>
  <c r="F28" i="3"/>
  <c r="X27" i="3"/>
  <c r="R27" i="3"/>
  <c r="P27" i="3"/>
  <c r="Q27" i="3" s="1"/>
  <c r="G27" i="3"/>
  <c r="F27" i="3"/>
  <c r="X26" i="3"/>
  <c r="R26" i="3"/>
  <c r="P26" i="3"/>
  <c r="Q26" i="3" s="1"/>
  <c r="G26" i="3"/>
  <c r="J26" i="3" s="1"/>
  <c r="F26" i="3"/>
  <c r="X25" i="3"/>
  <c r="R25" i="3"/>
  <c r="P25" i="3"/>
  <c r="Q25" i="3" s="1"/>
  <c r="G25" i="3"/>
  <c r="F25" i="3"/>
  <c r="X24" i="3"/>
  <c r="R24" i="3"/>
  <c r="G24" i="3"/>
  <c r="F24" i="3"/>
  <c r="X23" i="3"/>
  <c r="R23" i="3"/>
  <c r="G23" i="3"/>
  <c r="F23" i="3"/>
  <c r="X22" i="3"/>
  <c r="R22" i="3"/>
  <c r="P22" i="3"/>
  <c r="Q22" i="3" s="1"/>
  <c r="G22" i="3"/>
  <c r="J22" i="3" s="1"/>
  <c r="F22" i="3"/>
  <c r="X21" i="3"/>
  <c r="R21" i="3"/>
  <c r="J21" i="3"/>
  <c r="G21" i="3"/>
  <c r="F21" i="3"/>
  <c r="X20" i="3"/>
  <c r="R20" i="3"/>
  <c r="J20" i="3"/>
  <c r="G20" i="3"/>
  <c r="F20" i="3"/>
  <c r="X19" i="3"/>
  <c r="R19" i="3"/>
  <c r="J19" i="3"/>
  <c r="G19" i="3"/>
  <c r="F19" i="3"/>
  <c r="X18" i="3"/>
  <c r="R18" i="3"/>
  <c r="J18" i="3"/>
  <c r="G18" i="3"/>
  <c r="F18" i="3"/>
  <c r="X17" i="3"/>
  <c r="R17" i="3"/>
  <c r="G17" i="3"/>
  <c r="F17" i="3"/>
  <c r="J17" i="3" s="1"/>
  <c r="X16" i="3"/>
  <c r="R16" i="3"/>
  <c r="P16" i="3"/>
  <c r="Q16" i="3" s="1"/>
  <c r="G16" i="3"/>
  <c r="F16" i="3"/>
  <c r="X15" i="3"/>
  <c r="R15" i="3"/>
  <c r="P15" i="3"/>
  <c r="G15" i="3"/>
  <c r="F15" i="3"/>
  <c r="X14" i="3"/>
  <c r="R14" i="3"/>
  <c r="P14" i="3"/>
  <c r="Q14" i="3" s="1"/>
  <c r="M14" i="3"/>
  <c r="J14" i="3"/>
  <c r="G14" i="3"/>
  <c r="F14" i="3"/>
  <c r="X13" i="3"/>
  <c r="R13" i="3"/>
  <c r="G13" i="3"/>
  <c r="F13" i="3"/>
  <c r="J13" i="3" s="1"/>
  <c r="X12" i="3"/>
  <c r="R12" i="3"/>
  <c r="P12" i="3"/>
  <c r="Q12" i="3" s="1"/>
  <c r="G12" i="3"/>
  <c r="F12" i="3"/>
  <c r="X11" i="3"/>
  <c r="R11" i="3"/>
  <c r="G11" i="3"/>
  <c r="F11" i="3"/>
  <c r="X10" i="3"/>
  <c r="R10" i="3"/>
  <c r="G10" i="3"/>
  <c r="F10" i="3"/>
  <c r="X9" i="3"/>
  <c r="R9" i="3"/>
  <c r="G9" i="3"/>
  <c r="H4" i="3" s="1"/>
  <c r="F9" i="3"/>
  <c r="X8" i="3"/>
  <c r="R8" i="3"/>
  <c r="J8" i="3"/>
  <c r="G8" i="3"/>
  <c r="F8" i="3"/>
  <c r="X7" i="3"/>
  <c r="R7" i="3"/>
  <c r="S3" i="3" s="1"/>
  <c r="J7" i="3"/>
  <c r="G7" i="3"/>
  <c r="F7" i="3"/>
  <c r="AB4" i="3"/>
  <c r="Y4" i="3"/>
  <c r="P4" i="3"/>
  <c r="P3" i="3"/>
  <c r="D36" i="2"/>
  <c r="D35" i="2"/>
  <c r="D34" i="2"/>
  <c r="D33" i="2"/>
  <c r="D32" i="2"/>
  <c r="D31" i="2"/>
  <c r="D30" i="2"/>
  <c r="D29" i="2"/>
  <c r="D28" i="2"/>
  <c r="D27" i="2"/>
  <c r="D25" i="2"/>
  <c r="D24" i="2"/>
  <c r="D22" i="2"/>
  <c r="D21" i="2"/>
  <c r="D20" i="2"/>
  <c r="D19" i="2"/>
  <c r="D18" i="2"/>
  <c r="D17" i="2"/>
  <c r="D16" i="2"/>
  <c r="D14" i="2"/>
  <c r="D13" i="2"/>
  <c r="D11" i="2"/>
  <c r="D10" i="2"/>
  <c r="D6" i="2"/>
  <c r="D5" i="2"/>
  <c r="H8" i="6" l="1"/>
  <c r="H25" i="6"/>
  <c r="H13" i="6"/>
  <c r="H18" i="6"/>
  <c r="H32" i="6"/>
  <c r="H33" i="6"/>
  <c r="H24" i="6"/>
  <c r="H9" i="6"/>
  <c r="H29" i="6"/>
  <c r="H34" i="6"/>
  <c r="H17" i="6"/>
  <c r="H31" i="6"/>
  <c r="H21" i="6"/>
  <c r="H23" i="6"/>
  <c r="H5" i="6"/>
  <c r="H7" i="6"/>
  <c r="P30" i="4"/>
  <c r="K4" i="3"/>
  <c r="H10" i="3"/>
  <c r="I10" i="3" s="1"/>
  <c r="P19" i="4"/>
  <c r="H21" i="3"/>
  <c r="R34" i="4"/>
  <c r="R24" i="4"/>
  <c r="R7" i="4"/>
  <c r="Y17" i="3"/>
  <c r="R17" i="5"/>
  <c r="H32" i="4"/>
  <c r="H3" i="3"/>
  <c r="H17" i="3" s="1"/>
  <c r="I17" i="3" s="1"/>
  <c r="J23" i="3"/>
  <c r="Y3" i="3"/>
  <c r="Y19" i="3" s="1"/>
  <c r="Z19" i="3" s="1"/>
  <c r="J9" i="3"/>
  <c r="H23" i="3"/>
  <c r="Y24" i="3"/>
  <c r="Q33" i="3"/>
  <c r="P38" i="3"/>
  <c r="Q38" i="3" s="1"/>
  <c r="P30" i="3"/>
  <c r="Q30" i="3" s="1"/>
  <c r="P37" i="3"/>
  <c r="Q37" i="3" s="1"/>
  <c r="P31" i="3"/>
  <c r="Q31" i="3" s="1"/>
  <c r="P20" i="3"/>
  <c r="Q20" i="3" s="1"/>
  <c r="P8" i="3"/>
  <c r="Q8" i="3" s="1"/>
  <c r="P7" i="3"/>
  <c r="Q7" i="3" s="1"/>
  <c r="P32" i="3"/>
  <c r="Q32" i="3" s="1"/>
  <c r="P19" i="3"/>
  <c r="Q19" i="3" s="1"/>
  <c r="P35" i="3"/>
  <c r="Q35" i="3" s="1"/>
  <c r="P18" i="3"/>
  <c r="Q18" i="3" s="1"/>
  <c r="P28" i="3"/>
  <c r="Q28" i="3" s="1"/>
  <c r="P21" i="3"/>
  <c r="Q21" i="3" s="1"/>
  <c r="P9" i="3"/>
  <c r="Q9" i="3" s="1"/>
  <c r="J12" i="3"/>
  <c r="H18" i="3"/>
  <c r="Y18" i="3"/>
  <c r="S4" i="3"/>
  <c r="S21" i="3" s="1"/>
  <c r="H8" i="3"/>
  <c r="P11" i="3"/>
  <c r="Q11" i="3" s="1"/>
  <c r="J15" i="3"/>
  <c r="P17" i="3"/>
  <c r="Q17" i="3" s="1"/>
  <c r="Y22" i="3"/>
  <c r="P24" i="3"/>
  <c r="Q24" i="3" s="1"/>
  <c r="AI7" i="4"/>
  <c r="AI10" i="4"/>
  <c r="Y36" i="3"/>
  <c r="Y30" i="3"/>
  <c r="Y29" i="3"/>
  <c r="Y28" i="3"/>
  <c r="Y27" i="3"/>
  <c r="Y21" i="3"/>
  <c r="Y9" i="3"/>
  <c r="Y34" i="3"/>
  <c r="Y23" i="3"/>
  <c r="Y15" i="3"/>
  <c r="Y11" i="3"/>
  <c r="J16" i="3"/>
  <c r="H16" i="3"/>
  <c r="H27" i="3"/>
  <c r="J27" i="3"/>
  <c r="J15" i="4"/>
  <c r="H3" i="4"/>
  <c r="H15" i="4" s="1"/>
  <c r="AI36" i="4"/>
  <c r="I15" i="5"/>
  <c r="H15" i="5"/>
  <c r="J15" i="5"/>
  <c r="H3" i="5"/>
  <c r="U33" i="5"/>
  <c r="J35" i="3"/>
  <c r="H35" i="3"/>
  <c r="H37" i="3"/>
  <c r="H34" i="3"/>
  <c r="I34" i="3" s="1"/>
  <c r="H25" i="3"/>
  <c r="H33" i="3"/>
  <c r="H19" i="3"/>
  <c r="H7" i="3"/>
  <c r="I7" i="3" s="1"/>
  <c r="Y13" i="3"/>
  <c r="Y37" i="3"/>
  <c r="J31" i="4"/>
  <c r="H14" i="3"/>
  <c r="Y14" i="3"/>
  <c r="Y20" i="3"/>
  <c r="J24" i="3"/>
  <c r="Y25" i="3"/>
  <c r="P29" i="3"/>
  <c r="Q29" i="3" s="1"/>
  <c r="H31" i="3"/>
  <c r="I31" i="3" s="1"/>
  <c r="Y32" i="3"/>
  <c r="Z32" i="3" s="1"/>
  <c r="P36" i="3"/>
  <c r="Q36" i="3" s="1"/>
  <c r="O27" i="4"/>
  <c r="O23" i="4"/>
  <c r="O37" i="4"/>
  <c r="O33" i="4"/>
  <c r="O29" i="4"/>
  <c r="P29" i="4" s="1"/>
  <c r="O28" i="4"/>
  <c r="P28" i="4" s="1"/>
  <c r="O24" i="4"/>
  <c r="O8" i="4"/>
  <c r="O7" i="4"/>
  <c r="O6" i="4"/>
  <c r="O36" i="4"/>
  <c r="O32" i="4"/>
  <c r="P32" i="4" s="1"/>
  <c r="O22" i="4"/>
  <c r="P22" i="4" s="1"/>
  <c r="O21" i="4"/>
  <c r="P21" i="4" s="1"/>
  <c r="O34" i="4"/>
  <c r="O17" i="4"/>
  <c r="O9" i="4"/>
  <c r="O16" i="4"/>
  <c r="O15" i="4"/>
  <c r="O14" i="4"/>
  <c r="P20" i="4" s="1"/>
  <c r="O11" i="4"/>
  <c r="P11" i="4" s="1"/>
  <c r="O35" i="4"/>
  <c r="P35" i="4" s="1"/>
  <c r="O26" i="4"/>
  <c r="O25" i="4"/>
  <c r="O18" i="4"/>
  <c r="O12" i="4"/>
  <c r="J23" i="4"/>
  <c r="AH27" i="4"/>
  <c r="AI27" i="4"/>
  <c r="Y10" i="3"/>
  <c r="H22" i="3"/>
  <c r="Y38" i="3"/>
  <c r="J32" i="4"/>
  <c r="J10" i="3"/>
  <c r="J28" i="3"/>
  <c r="H29" i="3"/>
  <c r="Y31" i="3"/>
  <c r="K3" i="4"/>
  <c r="Y7" i="3"/>
  <c r="J11" i="3"/>
  <c r="P10" i="3"/>
  <c r="Q10" i="3" s="1"/>
  <c r="H11" i="3"/>
  <c r="Y12" i="3"/>
  <c r="P13" i="3"/>
  <c r="Q13" i="3" s="1"/>
  <c r="H20" i="3"/>
  <c r="P23" i="3"/>
  <c r="Q23" i="3" s="1"/>
  <c r="Y26" i="3"/>
  <c r="H32" i="3"/>
  <c r="G39" i="3"/>
  <c r="R2" i="4"/>
  <c r="R13" i="4" s="1"/>
  <c r="O10" i="4"/>
  <c r="P10" i="4" s="1"/>
  <c r="O13" i="4"/>
  <c r="H23" i="4"/>
  <c r="O31" i="4"/>
  <c r="Y33" i="3"/>
  <c r="Z33" i="3" s="1"/>
  <c r="Y35" i="3"/>
  <c r="AH3" i="4"/>
  <c r="AH7" i="4" s="1"/>
  <c r="J16" i="4"/>
  <c r="H16" i="4"/>
  <c r="H22" i="4"/>
  <c r="J35" i="5"/>
  <c r="I35" i="5"/>
  <c r="AH23" i="4"/>
  <c r="AI23" i="4"/>
  <c r="H10" i="6"/>
  <c r="I32" i="5"/>
  <c r="J34" i="3"/>
  <c r="H36" i="3"/>
  <c r="I36" i="3" s="1"/>
  <c r="J17" i="4"/>
  <c r="Q38" i="4"/>
  <c r="R3" i="5"/>
  <c r="R12" i="5"/>
  <c r="J32" i="5"/>
  <c r="R15" i="5"/>
  <c r="J23" i="5"/>
  <c r="J38" i="5"/>
  <c r="H16" i="6"/>
  <c r="J33" i="3"/>
  <c r="AH2" i="4"/>
  <c r="AH28" i="4" s="1"/>
  <c r="AI26" i="4"/>
  <c r="AI35" i="4"/>
  <c r="AI31" i="4"/>
  <c r="AI19" i="4"/>
  <c r="AI18" i="4"/>
  <c r="AI17" i="4"/>
  <c r="AI16" i="4"/>
  <c r="AI15" i="4"/>
  <c r="AI14" i="4"/>
  <c r="H18" i="4"/>
  <c r="J19" i="4"/>
  <c r="AI21" i="4"/>
  <c r="J26" i="4"/>
  <c r="H26" i="4"/>
  <c r="H27" i="4"/>
  <c r="AI30" i="4"/>
  <c r="AI32" i="4"/>
  <c r="H36" i="4"/>
  <c r="R2" i="5"/>
  <c r="O7" i="5"/>
  <c r="P7" i="5" s="1"/>
  <c r="O17" i="5"/>
  <c r="P17" i="5" s="1"/>
  <c r="H15" i="6"/>
  <c r="H26" i="6"/>
  <c r="H2" i="5"/>
  <c r="H38" i="5" s="1"/>
  <c r="J8" i="5"/>
  <c r="I9" i="5"/>
  <c r="I11" i="5"/>
  <c r="I12" i="5"/>
  <c r="I18" i="5"/>
  <c r="I19" i="5"/>
  <c r="I21" i="5"/>
  <c r="I25" i="5"/>
  <c r="O31" i="5"/>
  <c r="P31" i="5" s="1"/>
  <c r="H3" i="6"/>
  <c r="H36" i="6" s="1"/>
  <c r="H11" i="6"/>
  <c r="H19" i="6"/>
  <c r="H27" i="6"/>
  <c r="O30" i="5"/>
  <c r="P30" i="5" s="1"/>
  <c r="O22" i="5"/>
  <c r="P22" i="5" s="1"/>
  <c r="O18" i="5"/>
  <c r="P18" i="5" s="1"/>
  <c r="O6" i="5"/>
  <c r="P6" i="5" s="1"/>
  <c r="O35" i="5"/>
  <c r="P35" i="5" s="1"/>
  <c r="O26" i="5"/>
  <c r="P26" i="5" s="1"/>
  <c r="O11" i="5"/>
  <c r="P11" i="5" s="1"/>
  <c r="O37" i="5"/>
  <c r="P37" i="5" s="1"/>
  <c r="O34" i="5"/>
  <c r="P34" i="5" s="1"/>
  <c r="O25" i="5"/>
  <c r="P25" i="5" s="1"/>
  <c r="O32" i="5"/>
  <c r="P32" i="5" s="1"/>
  <c r="O27" i="5"/>
  <c r="P27" i="5" s="1"/>
  <c r="J14" i="5"/>
  <c r="I14" i="5"/>
  <c r="J17" i="5"/>
  <c r="I17" i="5"/>
  <c r="J22" i="5"/>
  <c r="I22" i="5"/>
  <c r="O23" i="5"/>
  <c r="P23" i="5" s="1"/>
  <c r="U23" i="5" s="1"/>
  <c r="O24" i="5"/>
  <c r="P24" i="5" s="1"/>
  <c r="I27" i="5"/>
  <c r="I28" i="5"/>
  <c r="O29" i="5"/>
  <c r="P29" i="5" s="1"/>
  <c r="J31" i="5"/>
  <c r="H6" i="6"/>
  <c r="H14" i="6"/>
  <c r="H22" i="6"/>
  <c r="H30" i="6"/>
  <c r="AH26" i="4"/>
  <c r="H31" i="4"/>
  <c r="H35" i="4"/>
  <c r="J19" i="5"/>
  <c r="I20" i="5"/>
  <c r="H20" i="5"/>
  <c r="H22" i="5"/>
  <c r="J27" i="5"/>
  <c r="I31" i="5"/>
  <c r="O13" i="5"/>
  <c r="P13" i="5" s="1"/>
  <c r="I26" i="5"/>
  <c r="J30" i="5"/>
  <c r="I30" i="5"/>
  <c r="I34" i="5"/>
  <c r="H4" i="6"/>
  <c r="H12" i="6"/>
  <c r="H20" i="6"/>
  <c r="H28" i="6"/>
  <c r="H31" i="5"/>
  <c r="I24" i="5"/>
  <c r="I36" i="5"/>
  <c r="Z12" i="3" l="1"/>
  <c r="I37" i="3"/>
  <c r="Z9" i="3"/>
  <c r="S23" i="3"/>
  <c r="Z18" i="3"/>
  <c r="S29" i="3"/>
  <c r="R15" i="4"/>
  <c r="R28" i="4"/>
  <c r="AH22" i="4"/>
  <c r="Z31" i="3"/>
  <c r="P33" i="4"/>
  <c r="AH24" i="4"/>
  <c r="R26" i="4"/>
  <c r="R6" i="4"/>
  <c r="R9" i="4"/>
  <c r="R17" i="4"/>
  <c r="AH25" i="4"/>
  <c r="H26" i="5"/>
  <c r="H8" i="5"/>
  <c r="AH32" i="4"/>
  <c r="Z35" i="3"/>
  <c r="P13" i="4"/>
  <c r="I20" i="3"/>
  <c r="R35" i="4"/>
  <c r="P26" i="4"/>
  <c r="P34" i="4"/>
  <c r="P24" i="4"/>
  <c r="S33" i="3"/>
  <c r="Z20" i="3"/>
  <c r="S17" i="3"/>
  <c r="I25" i="3"/>
  <c r="K15" i="4"/>
  <c r="Z23" i="3"/>
  <c r="Z36" i="3"/>
  <c r="I8" i="3"/>
  <c r="H30" i="3"/>
  <c r="I30" i="3" s="1"/>
  <c r="R21" i="4"/>
  <c r="H9" i="3"/>
  <c r="I9" i="3" s="1"/>
  <c r="Z17" i="3"/>
  <c r="R37" i="4"/>
  <c r="S37" i="4" s="1"/>
  <c r="R8" i="4"/>
  <c r="R30" i="4"/>
  <c r="S8" i="3"/>
  <c r="R18" i="4"/>
  <c r="S18" i="4" s="1"/>
  <c r="K32" i="4"/>
  <c r="K33" i="4"/>
  <c r="Z38" i="3"/>
  <c r="I27" i="3"/>
  <c r="I23" i="3"/>
  <c r="K21" i="4"/>
  <c r="AH37" i="4"/>
  <c r="K2" i="4"/>
  <c r="K14" i="4" s="1"/>
  <c r="AH9" i="4"/>
  <c r="S35" i="3"/>
  <c r="K36" i="4"/>
  <c r="R35" i="5"/>
  <c r="S17" i="5" s="1"/>
  <c r="R13" i="5"/>
  <c r="S13" i="5" s="1"/>
  <c r="H32" i="5"/>
  <c r="R25" i="4"/>
  <c r="S25" i="4" s="1"/>
  <c r="R19" i="4"/>
  <c r="S19" i="4" s="1"/>
  <c r="R20" i="4"/>
  <c r="S7" i="4" s="1"/>
  <c r="I33" i="3"/>
  <c r="AH36" i="4"/>
  <c r="I16" i="3"/>
  <c r="Z27" i="3"/>
  <c r="AH10" i="4"/>
  <c r="S13" i="3"/>
  <c r="AH12" i="4"/>
  <c r="R27" i="4"/>
  <c r="S27" i="4" s="1"/>
  <c r="R22" i="4"/>
  <c r="S22" i="4" s="1"/>
  <c r="R10" i="4"/>
  <c r="S10" i="4" s="1"/>
  <c r="K3" i="5"/>
  <c r="K30" i="5" s="1"/>
  <c r="S15" i="5"/>
  <c r="Z13" i="3"/>
  <c r="Z34" i="3"/>
  <c r="S36" i="3"/>
  <c r="S38" i="3"/>
  <c r="S24" i="3"/>
  <c r="S16" i="3"/>
  <c r="T16" i="3" s="1"/>
  <c r="S14" i="3"/>
  <c r="T14" i="3" s="1"/>
  <c r="AB14" i="3" s="1"/>
  <c r="S12" i="3"/>
  <c r="T12" i="3" s="1"/>
  <c r="S18" i="3"/>
  <c r="T18" i="3" s="1"/>
  <c r="S37" i="3"/>
  <c r="T37" i="3" s="1"/>
  <c r="S28" i="3"/>
  <c r="S27" i="3"/>
  <c r="T21" i="3" s="1"/>
  <c r="S32" i="3"/>
  <c r="S10" i="3"/>
  <c r="T10" i="3" s="1"/>
  <c r="S31" i="3"/>
  <c r="T31" i="3" s="1"/>
  <c r="S30" i="3"/>
  <c r="T30" i="3" s="1"/>
  <c r="S19" i="3"/>
  <c r="T19" i="3" s="1"/>
  <c r="S22" i="3"/>
  <c r="T22" i="3" s="1"/>
  <c r="S9" i="3"/>
  <c r="S7" i="3"/>
  <c r="T7" i="3" s="1"/>
  <c r="Z24" i="3"/>
  <c r="S34" i="4"/>
  <c r="K23" i="4"/>
  <c r="K28" i="4"/>
  <c r="I11" i="3"/>
  <c r="I19" i="3"/>
  <c r="Z22" i="3"/>
  <c r="I22" i="3"/>
  <c r="R14" i="4"/>
  <c r="S14" i="4" s="1"/>
  <c r="AK14" i="4" s="1"/>
  <c r="P15" i="4"/>
  <c r="P36" i="4"/>
  <c r="P37" i="4"/>
  <c r="S26" i="3"/>
  <c r="T26" i="3" s="1"/>
  <c r="H17" i="5"/>
  <c r="AH20" i="4"/>
  <c r="H27" i="5"/>
  <c r="K17" i="5"/>
  <c r="K26" i="4"/>
  <c r="R31" i="4"/>
  <c r="S31" i="4" s="1"/>
  <c r="S38" i="4"/>
  <c r="R38" i="4"/>
  <c r="H35" i="5"/>
  <c r="P31" i="4"/>
  <c r="I32" i="3"/>
  <c r="K11" i="3"/>
  <c r="K21" i="3"/>
  <c r="P12" i="4"/>
  <c r="P16" i="4"/>
  <c r="P6" i="4"/>
  <c r="P23" i="4"/>
  <c r="Z25" i="3"/>
  <c r="K9" i="4"/>
  <c r="H38" i="3"/>
  <c r="I38" i="3" s="1"/>
  <c r="K29" i="3"/>
  <c r="Z28" i="3"/>
  <c r="H15" i="3"/>
  <c r="I15" i="3" s="1"/>
  <c r="H12" i="3"/>
  <c r="I12" i="3" s="1"/>
  <c r="AH29" i="4"/>
  <c r="K11" i="4"/>
  <c r="R29" i="4"/>
  <c r="S29" i="4" s="1"/>
  <c r="AK29" i="4" s="1"/>
  <c r="R23" i="4"/>
  <c r="S23" i="4" s="1"/>
  <c r="R11" i="4"/>
  <c r="S11" i="4" s="1"/>
  <c r="K13" i="3"/>
  <c r="Y16" i="3"/>
  <c r="Z16" i="3" s="1"/>
  <c r="J39" i="3"/>
  <c r="H39" i="3"/>
  <c r="K36" i="3"/>
  <c r="K31" i="4"/>
  <c r="I35" i="3"/>
  <c r="Z21" i="3"/>
  <c r="I18" i="3"/>
  <c r="S15" i="3"/>
  <c r="T15" i="3" s="1"/>
  <c r="I21" i="3"/>
  <c r="AH21" i="4"/>
  <c r="S34" i="3"/>
  <c r="T34" i="3" s="1"/>
  <c r="I29" i="3"/>
  <c r="H16" i="5"/>
  <c r="K27" i="4"/>
  <c r="K16" i="4"/>
  <c r="Z26" i="3"/>
  <c r="Z7" i="3"/>
  <c r="Z10" i="3"/>
  <c r="P18" i="4"/>
  <c r="P9" i="4"/>
  <c r="P7" i="4"/>
  <c r="P27" i="4"/>
  <c r="H24" i="3"/>
  <c r="I24" i="3" s="1"/>
  <c r="Z37" i="3"/>
  <c r="H13" i="3"/>
  <c r="I13" i="3" s="1"/>
  <c r="K34" i="4"/>
  <c r="Z11" i="3"/>
  <c r="Z29" i="3"/>
  <c r="K12" i="3"/>
  <c r="K3" i="3"/>
  <c r="K20" i="3" s="1"/>
  <c r="K8" i="4"/>
  <c r="R36" i="4"/>
  <c r="S36" i="4" s="1"/>
  <c r="R32" i="4"/>
  <c r="S32" i="4" s="1"/>
  <c r="R12" i="4"/>
  <c r="S12" i="4" s="1"/>
  <c r="H26" i="3"/>
  <c r="I26" i="3" s="1"/>
  <c r="S25" i="3"/>
  <c r="T25" i="3" s="1"/>
  <c r="H14" i="5"/>
  <c r="K14" i="5"/>
  <c r="I36" i="4"/>
  <c r="K19" i="4"/>
  <c r="K25" i="4"/>
  <c r="K24" i="4"/>
  <c r="K2" i="5"/>
  <c r="K27" i="5" s="1"/>
  <c r="AH35" i="4"/>
  <c r="AH31" i="4"/>
  <c r="AH19" i="4"/>
  <c r="AH18" i="4"/>
  <c r="AH17" i="4"/>
  <c r="AH16" i="4"/>
  <c r="AH15" i="4"/>
  <c r="AH14" i="4"/>
  <c r="AH30" i="4"/>
  <c r="AH13" i="4"/>
  <c r="AH33" i="4"/>
  <c r="AH11" i="4"/>
  <c r="AH8" i="4"/>
  <c r="AH6" i="4"/>
  <c r="AH34" i="4"/>
  <c r="K22" i="4"/>
  <c r="K7" i="4"/>
  <c r="R26" i="5"/>
  <c r="S26" i="5" s="1"/>
  <c r="P25" i="4"/>
  <c r="P17" i="4"/>
  <c r="P8" i="4"/>
  <c r="H28" i="3"/>
  <c r="I28" i="3" s="1"/>
  <c r="H37" i="5"/>
  <c r="H34" i="5"/>
  <c r="H25" i="5"/>
  <c r="H9" i="5"/>
  <c r="H23" i="5"/>
  <c r="H21" i="5"/>
  <c r="H19" i="5"/>
  <c r="H18" i="5"/>
  <c r="H12" i="5"/>
  <c r="H11" i="5"/>
  <c r="H36" i="5"/>
  <c r="H30" i="5"/>
  <c r="H10" i="5"/>
  <c r="H6" i="5"/>
  <c r="H33" i="5"/>
  <c r="H29" i="5"/>
  <c r="H13" i="5"/>
  <c r="H28" i="5"/>
  <c r="H24" i="5"/>
  <c r="H7" i="5"/>
  <c r="H25" i="4"/>
  <c r="H14" i="4"/>
  <c r="I15" i="4" s="1"/>
  <c r="H13" i="4"/>
  <c r="H12" i="4"/>
  <c r="H11" i="4"/>
  <c r="H10" i="4"/>
  <c r="I10" i="4" s="1"/>
  <c r="H9" i="4"/>
  <c r="H34" i="4"/>
  <c r="I34" i="4" s="1"/>
  <c r="H30" i="4"/>
  <c r="H8" i="4"/>
  <c r="H28" i="4"/>
  <c r="H6" i="4"/>
  <c r="H37" i="4"/>
  <c r="H17" i="4"/>
  <c r="H19" i="4"/>
  <c r="H24" i="4"/>
  <c r="I24" i="4" s="1"/>
  <c r="H33" i="4"/>
  <c r="H20" i="4"/>
  <c r="H21" i="4"/>
  <c r="H7" i="4"/>
  <c r="Z15" i="3"/>
  <c r="Z30" i="3"/>
  <c r="Y8" i="3"/>
  <c r="Z8" i="3" s="1"/>
  <c r="K37" i="4"/>
  <c r="S11" i="3"/>
  <c r="T11" i="3" s="1"/>
  <c r="R16" i="4"/>
  <c r="S16" i="4" s="1"/>
  <c r="R33" i="4"/>
  <c r="S33" i="4" s="1"/>
  <c r="S20" i="3"/>
  <c r="T20" i="3" s="1"/>
  <c r="L7" i="4" l="1"/>
  <c r="I20" i="4"/>
  <c r="I8" i="4"/>
  <c r="I33" i="4"/>
  <c r="I30" i="4"/>
  <c r="I25" i="4"/>
  <c r="L19" i="4"/>
  <c r="K15" i="3"/>
  <c r="L16" i="4"/>
  <c r="K16" i="3"/>
  <c r="K8" i="3"/>
  <c r="S21" i="4"/>
  <c r="T17" i="3"/>
  <c r="T23" i="3"/>
  <c r="K30" i="4"/>
  <c r="L30" i="4" s="1"/>
  <c r="L23" i="4"/>
  <c r="L32" i="4"/>
  <c r="I35" i="4"/>
  <c r="K10" i="4"/>
  <c r="L10" i="4" s="1"/>
  <c r="AK10" i="4" s="1"/>
  <c r="I19" i="4"/>
  <c r="I9" i="4"/>
  <c r="L27" i="4"/>
  <c r="L31" i="4"/>
  <c r="K28" i="3"/>
  <c r="K22" i="3"/>
  <c r="K34" i="3"/>
  <c r="K34" i="5"/>
  <c r="K25" i="5"/>
  <c r="K10" i="5"/>
  <c r="L10" i="5" s="1"/>
  <c r="U10" i="5" s="1"/>
  <c r="K9" i="5"/>
  <c r="L9" i="5" s="1"/>
  <c r="U9" i="5" s="1"/>
  <c r="K6" i="5"/>
  <c r="L6" i="5" s="1"/>
  <c r="U6" i="5" s="1"/>
  <c r="K12" i="5"/>
  <c r="K36" i="5"/>
  <c r="K26" i="5"/>
  <c r="L26" i="5" s="1"/>
  <c r="U26" i="5" s="1"/>
  <c r="K16" i="5"/>
  <c r="K28" i="5"/>
  <c r="K18" i="5"/>
  <c r="L18" i="5" s="1"/>
  <c r="U18" i="5" s="1"/>
  <c r="K37" i="5"/>
  <c r="L37" i="5" s="1"/>
  <c r="U37" i="5" s="1"/>
  <c r="K20" i="5"/>
  <c r="L20" i="5" s="1"/>
  <c r="U20" i="5" s="1"/>
  <c r="K7" i="5"/>
  <c r="K11" i="5"/>
  <c r="K29" i="5"/>
  <c r="L29" i="5" s="1"/>
  <c r="U29" i="5" s="1"/>
  <c r="K24" i="5"/>
  <c r="K13" i="5"/>
  <c r="K21" i="5"/>
  <c r="L21" i="5" s="1"/>
  <c r="U21" i="5" s="1"/>
  <c r="K35" i="3"/>
  <c r="L33" i="4"/>
  <c r="T8" i="3"/>
  <c r="T33" i="3"/>
  <c r="K19" i="5"/>
  <c r="K12" i="4"/>
  <c r="L12" i="4" s="1"/>
  <c r="AK24" i="4"/>
  <c r="K8" i="5"/>
  <c r="L36" i="4"/>
  <c r="S24" i="4"/>
  <c r="K7" i="3"/>
  <c r="S30" i="4"/>
  <c r="K17" i="4"/>
  <c r="L17" i="4" s="1"/>
  <c r="S17" i="4"/>
  <c r="S28" i="4"/>
  <c r="S13" i="4"/>
  <c r="L34" i="4"/>
  <c r="AK34" i="4" s="1"/>
  <c r="K17" i="3"/>
  <c r="I37" i="4"/>
  <c r="I11" i="4"/>
  <c r="AK11" i="4" s="1"/>
  <c r="L22" i="4"/>
  <c r="K35" i="5"/>
  <c r="L8" i="4"/>
  <c r="K10" i="3"/>
  <c r="T32" i="3"/>
  <c r="T24" i="3"/>
  <c r="K9" i="3"/>
  <c r="T35" i="3"/>
  <c r="K14" i="3"/>
  <c r="L20" i="3" s="1"/>
  <c r="S8" i="4"/>
  <c r="K18" i="4"/>
  <c r="L18" i="4" s="1"/>
  <c r="K35" i="4"/>
  <c r="L35" i="4" s="1"/>
  <c r="S9" i="4"/>
  <c r="S15" i="4"/>
  <c r="T38" i="3"/>
  <c r="T13" i="3"/>
  <c r="I27" i="4"/>
  <c r="AK27" i="4" s="1"/>
  <c r="L21" i="4"/>
  <c r="I32" i="4"/>
  <c r="AK32" i="4" s="1"/>
  <c r="K32" i="3"/>
  <c r="L15" i="4"/>
  <c r="AK15" i="4" s="1"/>
  <c r="K23" i="5"/>
  <c r="L30" i="5" s="1"/>
  <c r="U30" i="5" s="1"/>
  <c r="K33" i="3"/>
  <c r="S6" i="4"/>
  <c r="T29" i="3"/>
  <c r="S12" i="5"/>
  <c r="K26" i="3"/>
  <c r="I22" i="4"/>
  <c r="AK22" i="4" s="1"/>
  <c r="I17" i="4"/>
  <c r="L11" i="4"/>
  <c r="L9" i="4"/>
  <c r="L26" i="4"/>
  <c r="I7" i="4"/>
  <c r="AK7" i="4" s="1"/>
  <c r="I6" i="4"/>
  <c r="I12" i="4"/>
  <c r="I21" i="4"/>
  <c r="AK21" i="4" s="1"/>
  <c r="I28" i="4"/>
  <c r="I13" i="4"/>
  <c r="AK13" i="4" s="1"/>
  <c r="K24" i="3"/>
  <c r="L24" i="4"/>
  <c r="K31" i="3"/>
  <c r="K37" i="3"/>
  <c r="I16" i="4"/>
  <c r="AK16" i="4" s="1"/>
  <c r="T9" i="3"/>
  <c r="T28" i="3"/>
  <c r="T36" i="3"/>
  <c r="K38" i="3"/>
  <c r="K32" i="5"/>
  <c r="K30" i="3"/>
  <c r="K18" i="3"/>
  <c r="K15" i="5"/>
  <c r="L15" i="5" s="1"/>
  <c r="U15" i="5" s="1"/>
  <c r="S35" i="4"/>
  <c r="I18" i="4"/>
  <c r="AK18" i="4" s="1"/>
  <c r="I26" i="4"/>
  <c r="S26" i="4"/>
  <c r="K23" i="3"/>
  <c r="K13" i="4"/>
  <c r="L13" i="4" s="1"/>
  <c r="L37" i="4"/>
  <c r="AK36" i="4"/>
  <c r="L25" i="4"/>
  <c r="I23" i="4"/>
  <c r="AK23" i="4" s="1"/>
  <c r="L28" i="4"/>
  <c r="K19" i="3"/>
  <c r="K20" i="4"/>
  <c r="L20" i="4" s="1"/>
  <c r="K22" i="5"/>
  <c r="L22" i="5" s="1"/>
  <c r="U22" i="5" s="1"/>
  <c r="I31" i="4"/>
  <c r="K31" i="5"/>
  <c r="L31" i="5" s="1"/>
  <c r="U31" i="5" s="1"/>
  <c r="K27" i="3"/>
  <c r="M25" i="3"/>
  <c r="AB25" i="3"/>
  <c r="K6" i="4"/>
  <c r="L6" i="4" s="1"/>
  <c r="M20" i="3" l="1"/>
  <c r="AB20" i="3"/>
  <c r="L27" i="3"/>
  <c r="L13" i="3"/>
  <c r="AK31" i="4"/>
  <c r="L23" i="3"/>
  <c r="L32" i="5"/>
  <c r="U32" i="5" s="1"/>
  <c r="L37" i="3"/>
  <c r="L10" i="3"/>
  <c r="L24" i="5"/>
  <c r="U24" i="5" s="1"/>
  <c r="L16" i="5"/>
  <c r="U16" i="5" s="1"/>
  <c r="L34" i="5"/>
  <c r="U34" i="5" s="1"/>
  <c r="AK19" i="4"/>
  <c r="AK20" i="4"/>
  <c r="L15" i="3"/>
  <c r="L14" i="5"/>
  <c r="U14" i="5" s="1"/>
  <c r="L34" i="3"/>
  <c r="L12" i="3"/>
  <c r="AK26" i="4"/>
  <c r="AK12" i="4"/>
  <c r="AK17" i="4"/>
  <c r="L33" i="3"/>
  <c r="L11" i="5"/>
  <c r="U11" i="5" s="1"/>
  <c r="L36" i="5"/>
  <c r="U36" i="5" s="1"/>
  <c r="L22" i="3"/>
  <c r="AK35" i="4"/>
  <c r="L38" i="3"/>
  <c r="L31" i="3"/>
  <c r="L36" i="3"/>
  <c r="L19" i="3"/>
  <c r="L24" i="3"/>
  <c r="AK6" i="4"/>
  <c r="L29" i="3"/>
  <c r="L17" i="5"/>
  <c r="U17" i="5" s="1"/>
  <c r="L9" i="3"/>
  <c r="L35" i="5"/>
  <c r="U35" i="5" s="1"/>
  <c r="L8" i="5"/>
  <c r="U8" i="5" s="1"/>
  <c r="L7" i="5"/>
  <c r="U7" i="5" s="1"/>
  <c r="L12" i="5"/>
  <c r="U12" i="5" s="1"/>
  <c r="L28" i="3"/>
  <c r="AK25" i="4"/>
  <c r="L27" i="5"/>
  <c r="U27" i="5" s="1"/>
  <c r="AK30" i="4"/>
  <c r="AK28" i="4"/>
  <c r="L11" i="3"/>
  <c r="L26" i="3"/>
  <c r="AK37" i="4"/>
  <c r="L8" i="3"/>
  <c r="AK33" i="4"/>
  <c r="L32" i="3"/>
  <c r="L35" i="3"/>
  <c r="L18" i="3"/>
  <c r="L30" i="3"/>
  <c r="L17" i="3"/>
  <c r="L7" i="3"/>
  <c r="L19" i="5"/>
  <c r="U19" i="5" s="1"/>
  <c r="L13" i="5"/>
  <c r="U13" i="5" s="1"/>
  <c r="L28" i="5"/>
  <c r="U28" i="5" s="1"/>
  <c r="L25" i="5"/>
  <c r="U25" i="5" s="1"/>
  <c r="AK9" i="4"/>
  <c r="L21" i="3"/>
  <c r="L16" i="3"/>
  <c r="AK8" i="4"/>
  <c r="M37" i="3" l="1"/>
  <c r="AB37" i="3"/>
  <c r="M28" i="3"/>
  <c r="AB28" i="3"/>
  <c r="M15" i="3"/>
  <c r="AB15" i="3"/>
  <c r="M16" i="3"/>
  <c r="AB16" i="3"/>
  <c r="M26" i="3"/>
  <c r="AB26" i="3"/>
  <c r="M21" i="3"/>
  <c r="AB21" i="3"/>
  <c r="M24" i="3"/>
  <c r="AB24" i="3"/>
  <c r="M17" i="3"/>
  <c r="AB17" i="3"/>
  <c r="M19" i="3"/>
  <c r="AB19" i="3"/>
  <c r="M33" i="3"/>
  <c r="AB33" i="3"/>
  <c r="M11" i="3"/>
  <c r="AB11" i="3"/>
  <c r="M18" i="3"/>
  <c r="AB18" i="3"/>
  <c r="M31" i="3"/>
  <c r="AB31" i="3"/>
  <c r="M38" i="3"/>
  <c r="AB38" i="3"/>
  <c r="M27" i="3"/>
  <c r="AB27" i="3"/>
  <c r="M8" i="3"/>
  <c r="AB8" i="3"/>
  <c r="M7" i="3"/>
  <c r="AB7" i="3"/>
  <c r="M30" i="3"/>
  <c r="AB30" i="3"/>
  <c r="M13" i="3"/>
  <c r="AB13" i="3"/>
  <c r="M35" i="3"/>
  <c r="AB35" i="3"/>
  <c r="M32" i="3"/>
  <c r="AB32" i="3"/>
  <c r="M12" i="3"/>
  <c r="AB12" i="3"/>
  <c r="M23" i="3"/>
  <c r="AB23" i="3"/>
  <c r="M36" i="3"/>
  <c r="AB36" i="3"/>
  <c r="M9" i="3"/>
  <c r="AB9" i="3"/>
  <c r="M29" i="3"/>
  <c r="AB29" i="3"/>
  <c r="M22" i="3"/>
  <c r="AB22" i="3"/>
  <c r="M34" i="3"/>
  <c r="AB34" i="3"/>
  <c r="M10" i="3"/>
  <c r="AB10" i="3"/>
</calcChain>
</file>

<file path=xl/sharedStrings.xml><?xml version="1.0" encoding="utf-8"?>
<sst xmlns="http://schemas.openxmlformats.org/spreadsheetml/2006/main" count="789" uniqueCount="268">
  <si>
    <t>Índice de capacidad</t>
  </si>
  <si>
    <t>Institución</t>
  </si>
  <si>
    <t>Ponderación total</t>
  </si>
  <si>
    <t>Variables</t>
  </si>
  <si>
    <t>Organo Coordinación</t>
  </si>
  <si>
    <t>Existencia (15%)</t>
  </si>
  <si>
    <t>Máx 100%</t>
  </si>
  <si>
    <t>Min 0%</t>
  </si>
  <si>
    <t>Poder Judicial</t>
  </si>
  <si>
    <t>Capacidad instalada de tasa de operadores (7%)
Variación tasa de operadores jueces penales (3%)
Presupuesto instalado (7%)
Variación presupuestal (3%)
Carrera Judicial (5%)
Salas (5%)</t>
  </si>
  <si>
    <t>Fiscalía</t>
  </si>
  <si>
    <t>Capacidad instalada de tasa de operadores (7%)
Variación tasa de operadores fiscales (3%)
Presupuesto instalado (7%)
Variación presupuestal (3%)
Autonomía (5%)
Modelo de Gestión; Asuntos Internos, MASC, UMECA, Atención esp. Mujeres y Adolescentes (5%, 1% c/u)
Agencias (5%)</t>
  </si>
  <si>
    <t>Defensoría Pública</t>
  </si>
  <si>
    <t>Capacidad instalada de tasa de operadores (7%)
Variación tasa de operadores defensores (3%)
Presupuesto instalado (7%)
Variación presupuestal (3%)</t>
  </si>
  <si>
    <t>Fuente pública: Busquedas en google</t>
  </si>
  <si>
    <t>Entidades / Variable</t>
  </si>
  <si>
    <t>Institución identficada</t>
  </si>
  <si>
    <t>Reclasificado</t>
  </si>
  <si>
    <t>Total Org Coord</t>
  </si>
  <si>
    <t>Entidad</t>
  </si>
  <si>
    <t>Evidencia del 2023 o posterior</t>
  </si>
  <si>
    <t>Nombre</t>
  </si>
  <si>
    <t>Link</t>
  </si>
  <si>
    <t>Comentarios</t>
  </si>
  <si>
    <t>Federación</t>
  </si>
  <si>
    <t>No</t>
  </si>
  <si>
    <t>Después de SETEC paso al SESNSP y luego SEGOB hizo una Unidad de Apoyo al Sistema de Justicia Penal, el Poder Judicial igual hizo una unidad, de las dos no queda nada reciente</t>
  </si>
  <si>
    <t>Aguascalientes</t>
  </si>
  <si>
    <t>Órgano Implementador del Sistema de Justicia Penal en el Estado de Aguascalientes</t>
  </si>
  <si>
    <t>https://eservicios2.aguascalientes.gob.mx/NormatecaAdministrador/archivos/EDO-26-181.pdf</t>
  </si>
  <si>
    <t>Reglamento de 2018</t>
  </si>
  <si>
    <t>Baja California</t>
  </si>
  <si>
    <t>Hallazgos 2023</t>
  </si>
  <si>
    <t>Lo más parecido que encontré fue http://www.justiciabc.gob.mx/ que es prácticamente nada</t>
  </si>
  <si>
    <t>Baja California Sur</t>
  </si>
  <si>
    <t>Si</t>
  </si>
  <si>
    <t>Secretaría Ejecutiva de la Comisión de Consolidación del SJP BCS</t>
  </si>
  <si>
    <t>https://justiciapenalbcs.gob.mx/#:~:text=La%20Comisi%C3%B3n%20de%20Consolidaci%C3%B3n%20del,Justicia%20Penal%20para%20el%20Estado.</t>
  </si>
  <si>
    <t xml:space="preserve">También tienen FB https://www.facebook.com/SJPBCS?ref=embed_page </t>
  </si>
  <si>
    <t>Campeche</t>
  </si>
  <si>
    <t>Coahuila de Zaragoza</t>
  </si>
  <si>
    <t>Comisión para la Instrumentación del Nuevo Sistema de Justicia Penal de Coahuila</t>
  </si>
  <si>
    <t>http://sistemapenalcoahuila.gob.mx/</t>
  </si>
  <si>
    <t>Lo úlitmo que encontré es que sacaron unas cápsulas como de radio en 2024, pero realmente parece fantasma</t>
  </si>
  <si>
    <t>Colima</t>
  </si>
  <si>
    <t>Chiapas</t>
  </si>
  <si>
    <t>UNODC 2022</t>
  </si>
  <si>
    <t>Chihuahua</t>
  </si>
  <si>
    <t>Centro Estatal para la Consolidación del Sistema de Justicia Penal</t>
  </si>
  <si>
    <t>https://www.facebook.com/conspen.stj/?locale=es_LA</t>
  </si>
  <si>
    <t>Es sólo del Poder Judicial</t>
  </si>
  <si>
    <t>Ciudad de México</t>
  </si>
  <si>
    <t>Durango</t>
  </si>
  <si>
    <t>Organismo Implementador de la Reforma Penal Durango</t>
  </si>
  <si>
    <t>Parece que murió en 2017</t>
  </si>
  <si>
    <t>Guanajuato</t>
  </si>
  <si>
    <t>Comisión Estatal para la Evaluación y Consolidación del Sistema de Justicia Penal</t>
  </si>
  <si>
    <t>https://boletines.guanajuato.gob.mx/2025/02/20/fortalecen-el-sistema-de-justicia-penal-en-el-estado-de-guanajuato/</t>
  </si>
  <si>
    <t>Sabemos que hubo en 2023 y que rehicieron en 2025, no tiene página própia pero sacan boletines cada tantos años
UNODC 2022</t>
  </si>
  <si>
    <t>Guerrero</t>
  </si>
  <si>
    <t>Hidalgo</t>
  </si>
  <si>
    <t>Jalisco</t>
  </si>
  <si>
    <t>México</t>
  </si>
  <si>
    <t>Parece que crearon uno en 2024</t>
  </si>
  <si>
    <t>Michoacán de Ocampo</t>
  </si>
  <si>
    <t>Morelos</t>
  </si>
  <si>
    <t>Nayarit</t>
  </si>
  <si>
    <t>Nuevo León</t>
  </si>
  <si>
    <t>Comisión Ejecutiva para la Consolidación del Sistema de Justicia y Supervisión de Libertad Condicionada del Estado de Nuevo León</t>
  </si>
  <si>
    <t xml:space="preserve">https://www.facebook.com/sijupenl/?locale=es_LA </t>
  </si>
  <si>
    <t>Oaxaca</t>
  </si>
  <si>
    <t>Puebla</t>
  </si>
  <si>
    <t>Comisión Ejecutiva para la Actualización y Modernización de la Procuración y Administración de Justicia</t>
  </si>
  <si>
    <t>Parece que hubo algo, pero no queda mucha evidencia</t>
  </si>
  <si>
    <t>Querétaro</t>
  </si>
  <si>
    <t>Comisión Cosmos</t>
  </si>
  <si>
    <t>https://cosmos.gob.mx/sistema-cosmos#gsc.tab=0</t>
  </si>
  <si>
    <t>Quintana Roo</t>
  </si>
  <si>
    <t>San Luis Potosí</t>
  </si>
  <si>
    <t>Sinaloa</t>
  </si>
  <si>
    <t>Sonora</t>
  </si>
  <si>
    <t>Tabasco</t>
  </si>
  <si>
    <t>Tamaulipas</t>
  </si>
  <si>
    <t>Dirección para la Consolidación del Sistema de Justicia Penal</t>
  </si>
  <si>
    <t>No hay mucha evidencia de su existencia real</t>
  </si>
  <si>
    <t>Tlaxcala</t>
  </si>
  <si>
    <t>Veracruz de Ignacio de la Llave</t>
  </si>
  <si>
    <t>Yucatán</t>
  </si>
  <si>
    <t>Zacatecas</t>
  </si>
  <si>
    <t>Fuente:</t>
  </si>
  <si>
    <t>Proyecciones CONAPO</t>
  </si>
  <si>
    <t>INEGI. Censo Nacional de Impartición de Justicia Estatal 2023. Tabulados básicos
Jueces en el Sistema Penal Acusatorio del Poder Judicial, por entidad federativa según función y sexo 2022
Suma de todos</t>
  </si>
  <si>
    <t>CNIJE 2024 Metadatos (Valeria)</t>
  </si>
  <si>
    <t>Sólo se puede hasta 0% y si no hay dato igual 0% y señalar con * que fue por falta de información si presetnamos los datos de un estado o de una institución</t>
  </si>
  <si>
    <t>INEGI. Censo Nacional de Impartición de Justicia Estatal 2023. Tabulados básicos
Presupuesto ejercido por el Poder Judicial, por entidad federativa según capítulo del Clasificador por Objeto del Gasto 2022
Columna C</t>
  </si>
  <si>
    <t>INEGI Censo Nacional de Impartición de Justicia Estatal 2024. Tabulados básicos
Presupuesto ejercido por el Poder Judicial estatal, por entidad federativa 2023
Columna C</t>
  </si>
  <si>
    <t>INEGI Censo Nacional de Impartición de Justicia Estatal 2024. Tabulados básicos
Comisiones y/o comités del Poder Judicial, por nivel de gobierno y entidad federativa según tema o asunto principal 2023 Carrera Judicial (Columna N)</t>
  </si>
  <si>
    <t>Val max</t>
  </si>
  <si>
    <t>Val min</t>
  </si>
  <si>
    <t>Variación presupuestal (10%)</t>
  </si>
  <si>
    <t>Población 2022</t>
  </si>
  <si>
    <t>Población 2023</t>
  </si>
  <si>
    <t>Número de jueces en materia penal 2022</t>
  </si>
  <si>
    <t>Número de jueces en materia penal 2023</t>
  </si>
  <si>
    <t>Tasa de operadores 2022</t>
  </si>
  <si>
    <t>Tasa de operadores 2023</t>
  </si>
  <si>
    <t>Capacidad Jueces 2023 normal</t>
  </si>
  <si>
    <t>Capacidad instalada</t>
  </si>
  <si>
    <t>Variación TO Jueces</t>
  </si>
  <si>
    <t>Var TO Juez Normal</t>
  </si>
  <si>
    <t xml:space="preserve">Suma personal </t>
  </si>
  <si>
    <t>Presupuesto ejercido 2022</t>
  </si>
  <si>
    <t>Presupuesto ejercido 2023</t>
  </si>
  <si>
    <t>Presupuesto instalado PJ normal</t>
  </si>
  <si>
    <t>Presupuesto instalado PJ</t>
  </si>
  <si>
    <t>Variación Presup Pod Jud</t>
  </si>
  <si>
    <t>Var Pres PJ Normal</t>
  </si>
  <si>
    <t>Carrera judicial</t>
  </si>
  <si>
    <t>Comité de Carrera Judicial</t>
  </si>
  <si>
    <t>Salas 2023</t>
  </si>
  <si>
    <t>Salas por 100,000 2023</t>
  </si>
  <si>
    <t>Salas por pob normal</t>
  </si>
  <si>
    <t>Total Poder Judicial</t>
  </si>
  <si>
    <t>N/A</t>
  </si>
  <si>
    <t>Nacional</t>
  </si>
  <si>
    <t>Fuentes</t>
  </si>
  <si>
    <t>INEGI. Censo Nacional de Procuración de Justicia Estatal 2024. Tabulados básicos
Personal de la Fiscalía General o Procuraduría General de Justicia, por nivel de gobierno, entidad federativa y tipo de unidad según cargo y sexo 2023
Suma de columnas K y L</t>
  </si>
  <si>
    <t>INEGI. Censo Nacional de Procuración de Justicia Estatal 2023. Tabulados básicos
Presupuesto ejercido por la Fiscalía General o Procuraduría General de Justicia, por nivel de gobierno y entidad federativa según capítulo del Clasificador por Objeto del Gasto 2022
Columna D</t>
  </si>
  <si>
    <t>INEGI. Censo Nacional de Procuración de Justicia Estatal 2024. Tabulados básicos
Presupuesto ejercido por la Fiscalía General o Procuraduría General de Justicia, por nivel de gobierno y entidad federativa 2023
Columna D</t>
  </si>
  <si>
    <t>INEGI. Censo Nacional de Procuración de Justicia Estatal 2024. Tabulados básicos
Fiscalía General o Procuraduría General de Justicia, por nivel de gobierno y entidad federativa según condición de ejercicio de sus funciones como órgano constitucional autónomo 2023
Columna D</t>
  </si>
  <si>
    <t>INEGI. Censo Nacional de Procuración de Justicia Federal 2024. Tabulados básicos
Unidades administrativas de la Fiscalía General o Procuraduría General de Justicia, por nivel de gobierno y entidad federativa según función administrativa principal 2023
Columna H</t>
  </si>
  <si>
    <t>INEGI. Censo Nacional de Procuración de Justicia Federal 2024. Tabulados básicos
Unidades administrativas de la Fiscalía General o Procuraduría General de Justicia, por nivel de gobierno y entidad federativa según función administrativa principal 2023
Columna X</t>
  </si>
  <si>
    <t>INEGI. Censo Nacional de Procuración de Justicia Federal 2024. Tabulados básicos
Unidades administrativas de la Fiscalía General o Procuraduría General de Justicia, por nivel de gobierno y entidad federativa según función administrativa principal 2023
Columna AD</t>
  </si>
  <si>
    <t>INEGI. Censo Nacional de Procuración de Justicia Federal 2024. Tabulados básicos
Unidades administrativas de la Fiscalía General o Procuraduría General de Justicia, por nivel de gobierno y entidad federativa según función administrativa principal 2023
Columna K</t>
  </si>
  <si>
    <t>INEGI. Censo Nacional de Procuración de Justicia Federal 2024. Tabulados básicos
Unidades administrativas de la Fiscalía General o Procuraduría General de Justicia, por nivel de gobierno y entidad federativa según función administrativa principal 2023
Columna L</t>
  </si>
  <si>
    <t>INEGI. Censo Nacional de Procuración de Justicia Federal 2024. Tabulados básicos
Agencias y/o fiscalías del Ministerio Público de la Fiscalía General o Procuraduría General de Justicia, por nivel de gobierno y entidad federativa según tipo 2023
Columna D</t>
  </si>
  <si>
    <t>Valor más alto es el 5%, los demas son proporcionales</t>
  </si>
  <si>
    <t>Número de Fiscales 2022</t>
  </si>
  <si>
    <t>Número de Fiscales 2023</t>
  </si>
  <si>
    <t>Tasa operadores 2022</t>
  </si>
  <si>
    <t>Tasa operadores 2023</t>
  </si>
  <si>
    <t>Capacidad Fiscales 2023 normal</t>
  </si>
  <si>
    <t>Variación Operadores Fiscales</t>
  </si>
  <si>
    <t>Var Opr Fiscales Normal</t>
  </si>
  <si>
    <t>Presup inst normal Fiscalía</t>
  </si>
  <si>
    <t>Presupuesto instalado Fisc</t>
  </si>
  <si>
    <t>Variación Presup Fiscal</t>
  </si>
  <si>
    <t>Var Presup Fisc Normal</t>
  </si>
  <si>
    <t>Variación Presup Fiscalía</t>
  </si>
  <si>
    <t>Autonomía consitucional (SI)</t>
  </si>
  <si>
    <t>Autonomía constitucional</t>
  </si>
  <si>
    <t>Asuntos internos</t>
  </si>
  <si>
    <t>Asuntos Internos</t>
  </si>
  <si>
    <t>MASC</t>
  </si>
  <si>
    <t>UMECAS</t>
  </si>
  <si>
    <t>UMECA</t>
  </si>
  <si>
    <t>Mujeres</t>
  </si>
  <si>
    <t>Atención especializada en justicia para las mujeres.</t>
  </si>
  <si>
    <t>Adolescentes</t>
  </si>
  <si>
    <t>Agencias del MP 2023</t>
  </si>
  <si>
    <t>Agencias por 100,000 hab 2023</t>
  </si>
  <si>
    <t>Agencias por pob normal</t>
  </si>
  <si>
    <t>Total Fiscalías</t>
  </si>
  <si>
    <t>-</t>
  </si>
  <si>
    <t>Censo Nacional de Gobiernos Estatales
Número de defensores públicos en materia penal</t>
  </si>
  <si>
    <t>INEGI. Censo Nacional de Impartición de Justicia Estatal 2023. Tabulados básicos
Presupuesto ejercido por la institución de defensoría pública y/o asesoría jurídica del Poder Judicial, por entidad federativa 2022
Columna C</t>
  </si>
  <si>
    <t>INEGI. Censo Nacional de Impartición de Justicia Estatal 2024. Tabulados básicos
Presupuesto ejercido por la institución de defensoría pública y/o asesoría jurídica, por nivel de gobierno, entidad federativa y tipo de institución 2023
Columna F (sólo totales)</t>
  </si>
  <si>
    <t>Número de Defensors Púb 2022</t>
  </si>
  <si>
    <t>Número de Defensors Púb 2023</t>
  </si>
  <si>
    <t>Capacidad Def normal</t>
  </si>
  <si>
    <t xml:space="preserve">Variación TO DP </t>
  </si>
  <si>
    <t>Var TO DP Normal</t>
  </si>
  <si>
    <t>Variación TO DP</t>
  </si>
  <si>
    <t>Presup Inst DP normal</t>
  </si>
  <si>
    <t>Presup Inst DP</t>
  </si>
  <si>
    <t>Variación Presup DP</t>
  </si>
  <si>
    <t>Variación Presup Defensoría Pública</t>
  </si>
  <si>
    <t>Total Def Pub</t>
  </si>
  <si>
    <t>NA</t>
  </si>
  <si>
    <t>cve</t>
  </si>
  <si>
    <t>Organo Coord</t>
  </si>
  <si>
    <t>Total</t>
  </si>
  <si>
    <t>Estado de México</t>
  </si>
  <si>
    <t>Promedio</t>
  </si>
  <si>
    <t>Código de entidad</t>
  </si>
  <si>
    <t>Totales de componentes</t>
  </si>
  <si>
    <t>Subcomponentes Defensoría Pública</t>
  </si>
  <si>
    <t>Sub componentes Órgano</t>
  </si>
  <si>
    <t>Subcomponentes Poder Judicial</t>
  </si>
  <si>
    <t>Subcomponentes Fiscalía</t>
  </si>
  <si>
    <t>Ranking</t>
  </si>
  <si>
    <t>Índice de Capacidad</t>
  </si>
  <si>
    <t>Variación tasa de operadores</t>
  </si>
  <si>
    <t>Presupuesto</t>
  </si>
  <si>
    <t>Variación del presupuesto</t>
  </si>
  <si>
    <t>Institución consolidada</t>
  </si>
  <si>
    <t>Prespupuesto</t>
  </si>
  <si>
    <t>Comité de carrera judicial</t>
  </si>
  <si>
    <t>Tasa de salas de audiencias por cada 100 mil hab</t>
  </si>
  <si>
    <t>Atención especializada a mujeres</t>
  </si>
  <si>
    <t>Atención especializada a adolescentes</t>
  </si>
  <si>
    <t>Tasa de agencias por cada 100 mil hab</t>
  </si>
  <si>
    <t>entidad</t>
  </si>
  <si>
    <t>Órgano de coordinación</t>
  </si>
  <si>
    <t>ranking</t>
  </si>
  <si>
    <t>total_indice_capacidad</t>
  </si>
  <si>
    <t>total_organo_coordinacion</t>
  </si>
  <si>
    <t>total_poder_judicial</t>
  </si>
  <si>
    <t>total_fiscalia</t>
  </si>
  <si>
    <t>total_defensoria_publica</t>
  </si>
  <si>
    <t>dp_cap</t>
  </si>
  <si>
    <t>dp_var_cap</t>
  </si>
  <si>
    <t>dp_pres</t>
  </si>
  <si>
    <t>dp_var_pres</t>
  </si>
  <si>
    <t>oc_inst_cons</t>
  </si>
  <si>
    <t>pj_cap</t>
  </si>
  <si>
    <t>pj_var_cap</t>
  </si>
  <si>
    <t>pj_pres</t>
  </si>
  <si>
    <t>pj_var_pres</t>
  </si>
  <si>
    <t>pj_comite_carr_jud</t>
  </si>
  <si>
    <t>pj_tasa_salas</t>
  </si>
  <si>
    <t>fi_cap</t>
  </si>
  <si>
    <t>fi_var_cap</t>
  </si>
  <si>
    <t>fi_pres</t>
  </si>
  <si>
    <t>fi_var_pres</t>
  </si>
  <si>
    <t>fi_autonomia</t>
  </si>
  <si>
    <t>fi_asuntos_int</t>
  </si>
  <si>
    <t>fi_masc</t>
  </si>
  <si>
    <t>fi_umeca</t>
  </si>
  <si>
    <t>fi_mujeres</t>
  </si>
  <si>
    <t>fi_adolescentes</t>
  </si>
  <si>
    <t>fi_tasa_agencias</t>
  </si>
  <si>
    <t>valor máximo</t>
  </si>
  <si>
    <t>01</t>
  </si>
  <si>
    <t>02</t>
  </si>
  <si>
    <t>03</t>
  </si>
  <si>
    <t>04</t>
  </si>
  <si>
    <t>Coahuila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</si>
  <si>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</si>
  <si>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</si>
  <si>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</si>
  <si>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</si>
  <si>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</si>
  <si>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</si>
  <si>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</si>
  <si>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</si>
  <si>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</si>
  <si>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</si>
  <si>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</si>
  <si>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Michoacán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</si>
  <si>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</si>
  <si>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</si>
  <si>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</si>
  <si>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</si>
  <si>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</si>
  <si>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</si>
  <si>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</si>
  <si>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</si>
  <si>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</si>
  <si>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</si>
  <si>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</si>
  <si>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</si>
  <si>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</si>
  <si>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</si>
  <si>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 xml:space="preserve">Veracruz </t>
  </si>
  <si>
    <t>30</t>
  </si>
  <si>
    <t>31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</si>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</sst>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* #,##0.00_-;\-&quot;$&quot;* #,##0.00_-;_-&quot;$&quot;* &quot;-&quot;??_-;_-@"/>
    <numFmt numFmtId="165" formatCode="#,##0.0000"/>
    <numFmt numFmtId="166" formatCode="0.0%"/>
    <numFmt numFmtId="167" formatCode="0.0000"/>
    <numFmt numFmtId="168" formatCode="0.000"/>
  </numFmts>
  <fonts count="14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  <font>
      <sz val="11"/>
      <color theme="1"/>
      <name val="Arial"/>
      <family val="2"/>
    </font>
    <font>
      <u/>
      <sz val="11"/>
      <color theme="10"/>
      <name val="Aptos Narrow"/>
    </font>
    <font>
      <sz val="11"/>
      <color theme="10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1"/>
      <name val="Aptos Narrow"/>
    </font>
    <font>
      <i/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AE2D5"/>
        <bgColor rgb="FFFAE2D5"/>
      </patternFill>
    </fill>
    <fill>
      <patternFill patternType="solid">
        <fgColor rgb="FF00FFFF"/>
        <bgColor rgb="FF00FFFF"/>
      </patternFill>
    </fill>
    <fill>
      <patternFill patternType="solid">
        <fgColor rgb="FFD9F2D0"/>
        <bgColor rgb="FFD9F2D0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9" fontId="3" fillId="0" borderId="0" xfId="0" applyNumberFormat="1" applyFont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wrapText="1"/>
    </xf>
    <xf numFmtId="0" fontId="3" fillId="3" borderId="1" xfId="0" applyFont="1" applyFill="1" applyBorder="1"/>
    <xf numFmtId="9" fontId="3" fillId="3" borderId="1" xfId="0" applyNumberFormat="1" applyFont="1" applyFill="1" applyBorder="1"/>
    <xf numFmtId="0" fontId="5" fillId="0" borderId="0" xfId="0" applyFont="1"/>
    <xf numFmtId="9" fontId="2" fillId="0" borderId="0" xfId="0" applyNumberFormat="1" applyFont="1"/>
    <xf numFmtId="0" fontId="6" fillId="0" borderId="0" xfId="0" applyFont="1"/>
    <xf numFmtId="0" fontId="4" fillId="4" borderId="0" xfId="0" applyFont="1" applyFill="1"/>
    <xf numFmtId="2" fontId="2" fillId="0" borderId="0" xfId="0" applyNumberFormat="1" applyFont="1"/>
    <xf numFmtId="0" fontId="2" fillId="0" borderId="1" xfId="0" applyFont="1" applyBorder="1"/>
    <xf numFmtId="164" fontId="2" fillId="0" borderId="0" xfId="0" applyNumberFormat="1" applyFont="1"/>
    <xf numFmtId="9" fontId="2" fillId="2" borderId="1" xfId="0" applyNumberFormat="1" applyFont="1" applyFill="1" applyBorder="1"/>
    <xf numFmtId="9" fontId="3" fillId="2" borderId="1" xfId="0" applyNumberFormat="1" applyFont="1" applyFill="1" applyBorder="1"/>
    <xf numFmtId="10" fontId="3" fillId="2" borderId="0" xfId="0" applyNumberFormat="1" applyFont="1" applyFill="1"/>
    <xf numFmtId="164" fontId="3" fillId="3" borderId="1" xfId="0" applyNumberFormat="1" applyFont="1" applyFill="1" applyBorder="1"/>
    <xf numFmtId="2" fontId="3" fillId="3" borderId="1" xfId="0" applyNumberFormat="1" applyFont="1" applyFill="1" applyBorder="1"/>
    <xf numFmtId="1" fontId="3" fillId="3" borderId="1" xfId="0" applyNumberFormat="1" applyFont="1" applyFill="1" applyBorder="1"/>
    <xf numFmtId="2" fontId="3" fillId="0" borderId="0" xfId="0" applyNumberFormat="1" applyFont="1"/>
    <xf numFmtId="4" fontId="2" fillId="0" borderId="0" xfId="0" applyNumberFormat="1" applyFont="1"/>
    <xf numFmtId="10" fontId="2" fillId="0" borderId="0" xfId="0" applyNumberFormat="1" applyFont="1"/>
    <xf numFmtId="10" fontId="3" fillId="0" borderId="0" xfId="0" applyNumberFormat="1" applyFont="1"/>
    <xf numFmtId="165" fontId="3" fillId="0" borderId="0" xfId="0" applyNumberFormat="1" applyFont="1"/>
    <xf numFmtId="164" fontId="3" fillId="0" borderId="0" xfId="0" applyNumberFormat="1" applyFont="1"/>
    <xf numFmtId="4" fontId="3" fillId="0" borderId="0" xfId="0" applyNumberFormat="1" applyFont="1"/>
    <xf numFmtId="1" fontId="3" fillId="0" borderId="0" xfId="0" applyNumberFormat="1" applyFont="1"/>
    <xf numFmtId="2" fontId="3" fillId="5" borderId="1" xfId="0" applyNumberFormat="1" applyFont="1" applyFill="1" applyBorder="1"/>
    <xf numFmtId="2" fontId="3" fillId="6" borderId="0" xfId="0" applyNumberFormat="1" applyFont="1" applyFill="1"/>
    <xf numFmtId="4" fontId="2" fillId="6" borderId="0" xfId="0" applyNumberFormat="1" applyFont="1" applyFill="1"/>
    <xf numFmtId="10" fontId="2" fillId="6" borderId="0" xfId="0" applyNumberFormat="1" applyFont="1" applyFill="1"/>
    <xf numFmtId="0" fontId="7" fillId="0" borderId="0" xfId="0" applyFont="1"/>
    <xf numFmtId="0" fontId="8" fillId="0" borderId="0" xfId="0" applyFont="1"/>
    <xf numFmtId="2" fontId="9" fillId="0" borderId="0" xfId="0" applyNumberFormat="1" applyFont="1"/>
    <xf numFmtId="4" fontId="10" fillId="0" borderId="0" xfId="0" applyNumberFormat="1" applyFont="1"/>
    <xf numFmtId="166" fontId="8" fillId="0" borderId="0" xfId="0" applyNumberFormat="1" applyFont="1"/>
    <xf numFmtId="167" fontId="9" fillId="0" borderId="0" xfId="0" applyNumberFormat="1" applyFont="1"/>
    <xf numFmtId="10" fontId="8" fillId="0" borderId="0" xfId="0" applyNumberFormat="1" applyFont="1"/>
    <xf numFmtId="164" fontId="9" fillId="0" borderId="0" xfId="0" applyNumberFormat="1" applyFont="1"/>
    <xf numFmtId="3" fontId="8" fillId="0" borderId="0" xfId="0" applyNumberFormat="1" applyFont="1"/>
    <xf numFmtId="10" fontId="1" fillId="0" borderId="0" xfId="0" applyNumberFormat="1" applyFont="1"/>
    <xf numFmtId="168" fontId="2" fillId="0" borderId="0" xfId="0" applyNumberFormat="1" applyFont="1"/>
    <xf numFmtId="0" fontId="2" fillId="7" borderId="1" xfId="0" applyFont="1" applyFill="1" applyBorder="1"/>
    <xf numFmtId="9" fontId="3" fillId="2" borderId="1" xfId="0" applyNumberFormat="1" applyFont="1" applyFill="1" applyBorder="1" applyAlignment="1">
      <alignment wrapText="1"/>
    </xf>
    <xf numFmtId="9" fontId="3" fillId="0" borderId="0" xfId="0" applyNumberFormat="1" applyFont="1" applyAlignment="1">
      <alignment wrapText="1"/>
    </xf>
    <xf numFmtId="9" fontId="3" fillId="2" borderId="0" xfId="0" applyNumberFormat="1" applyFont="1" applyFill="1"/>
    <xf numFmtId="0" fontId="3" fillId="0" borderId="0" xfId="0" applyFont="1"/>
    <xf numFmtId="168" fontId="3" fillId="0" borderId="0" xfId="0" applyNumberFormat="1" applyFont="1"/>
    <xf numFmtId="168" fontId="3" fillId="5" borderId="1" xfId="0" applyNumberFormat="1" applyFont="1" applyFill="1" applyBorder="1"/>
    <xf numFmtId="1" fontId="3" fillId="7" borderId="1" xfId="0" applyNumberFormat="1" applyFont="1" applyFill="1" applyBorder="1"/>
    <xf numFmtId="0" fontId="1" fillId="6" borderId="0" xfId="0" applyFont="1" applyFill="1"/>
    <xf numFmtId="2" fontId="2" fillId="6" borderId="0" xfId="0" applyNumberFormat="1" applyFont="1" applyFill="1"/>
    <xf numFmtId="168" fontId="2" fillId="6" borderId="0" xfId="0" applyNumberFormat="1" applyFont="1" applyFill="1"/>
    <xf numFmtId="1" fontId="9" fillId="0" borderId="0" xfId="0" applyNumberFormat="1" applyFont="1"/>
    <xf numFmtId="168" fontId="9" fillId="0" borderId="1" xfId="0" applyNumberFormat="1" applyFont="1" applyBorder="1"/>
    <xf numFmtId="4" fontId="9" fillId="0" borderId="0" xfId="0" applyNumberFormat="1" applyFont="1"/>
    <xf numFmtId="10" fontId="9" fillId="0" borderId="0" xfId="0" applyNumberFormat="1" applyFont="1"/>
    <xf numFmtId="166" fontId="2" fillId="0" borderId="0" xfId="0" applyNumberFormat="1" applyFont="1"/>
    <xf numFmtId="164" fontId="8" fillId="0" borderId="0" xfId="0" applyNumberFormat="1" applyFont="1"/>
    <xf numFmtId="0" fontId="10" fillId="2" borderId="0" xfId="0" applyFont="1" applyFill="1"/>
    <xf numFmtId="0" fontId="3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10" fillId="0" borderId="2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wrapText="1"/>
    </xf>
    <xf numFmtId="0" fontId="10" fillId="0" borderId="6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4" fillId="0" borderId="6" xfId="0" applyFont="1" applyBorder="1"/>
    <xf numFmtId="3" fontId="4" fillId="0" borderId="6" xfId="0" applyNumberFormat="1" applyFont="1" applyBorder="1" applyAlignment="1">
      <alignment wrapText="1"/>
    </xf>
    <xf numFmtId="0" fontId="4" fillId="8" borderId="6" xfId="0" applyFont="1" applyFill="1" applyBorder="1"/>
    <xf numFmtId="49" fontId="4" fillId="8" borderId="6" xfId="0" applyNumberFormat="1" applyFont="1" applyFill="1" applyBorder="1" applyAlignment="1">
      <alignment horizontal="center"/>
    </xf>
    <xf numFmtId="10" fontId="1" fillId="8" borderId="6" xfId="0" applyNumberFormat="1" applyFont="1" applyFill="1" applyBorder="1"/>
    <xf numFmtId="4" fontId="4" fillId="8" borderId="6" xfId="0" applyNumberFormat="1" applyFont="1" applyFill="1" applyBorder="1"/>
    <xf numFmtId="165" fontId="4" fillId="8" borderId="6" xfId="0" applyNumberFormat="1" applyFont="1" applyFill="1" applyBorder="1"/>
    <xf numFmtId="0" fontId="1" fillId="0" borderId="6" xfId="0" applyFont="1" applyBorder="1"/>
    <xf numFmtId="49" fontId="4" fillId="0" borderId="6" xfId="0" applyNumberFormat="1" applyFont="1" applyBorder="1" applyAlignment="1">
      <alignment horizontal="center"/>
    </xf>
    <xf numFmtId="165" fontId="4" fillId="9" borderId="6" xfId="0" applyNumberFormat="1" applyFont="1" applyFill="1" applyBorder="1"/>
    <xf numFmtId="165" fontId="1" fillId="0" borderId="6" xfId="0" applyNumberFormat="1" applyFont="1" applyBorder="1"/>
    <xf numFmtId="165" fontId="4" fillId="0" borderId="6" xfId="0" applyNumberFormat="1" applyFont="1" applyBorder="1"/>
    <xf numFmtId="0" fontId="1" fillId="10" borderId="6" xfId="0" applyFont="1" applyFill="1" applyBorder="1"/>
    <xf numFmtId="49" fontId="4" fillId="10" borderId="6" xfId="0" applyNumberFormat="1" applyFont="1" applyFill="1" applyBorder="1" applyAlignment="1">
      <alignment horizontal="center"/>
    </xf>
    <xf numFmtId="165" fontId="4" fillId="10" borderId="6" xfId="0" applyNumberFormat="1" applyFont="1" applyFill="1" applyBorder="1"/>
    <xf numFmtId="165" fontId="1" fillId="10" borderId="6" xfId="0" applyNumberFormat="1" applyFont="1" applyFill="1" applyBorder="1"/>
    <xf numFmtId="49" fontId="1" fillId="0" borderId="6" xfId="0" applyNumberFormat="1" applyFont="1" applyBorder="1" applyAlignment="1">
      <alignment horizontal="center"/>
    </xf>
    <xf numFmtId="0" fontId="1" fillId="11" borderId="6" xfId="0" applyFont="1" applyFill="1" applyBorder="1"/>
    <xf numFmtId="49" fontId="1" fillId="11" borderId="6" xfId="0" applyNumberFormat="1" applyFont="1" applyFill="1" applyBorder="1" applyAlignment="1">
      <alignment horizontal="center"/>
    </xf>
    <xf numFmtId="165" fontId="4" fillId="11" borderId="6" xfId="0" applyNumberFormat="1" applyFont="1" applyFill="1" applyBorder="1"/>
    <xf numFmtId="165" fontId="1" fillId="11" borderId="6" xfId="0" applyNumberFormat="1" applyFont="1" applyFill="1" applyBorder="1"/>
    <xf numFmtId="0" fontId="9" fillId="0" borderId="2" xfId="0" applyFont="1" applyBorder="1" applyAlignment="1">
      <alignment vertical="center"/>
    </xf>
    <xf numFmtId="0" fontId="11" fillId="0" borderId="3" xfId="0" applyFont="1" applyBorder="1" applyAlignment="1">
      <alignment horizontal="center" wrapText="1"/>
    </xf>
    <xf numFmtId="0" fontId="12" fillId="0" borderId="4" xfId="0" applyFont="1" applyBorder="1"/>
    <xf numFmtId="0" fontId="12" fillId="0" borderId="5" xfId="0" applyFont="1" applyBorder="1"/>
    <xf numFmtId="0" fontId="11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tx>
            <c:strRef>
              <c:f>Agregado!$P$2</c:f>
              <c:strCache>
                <c:ptCount val="1"/>
                <c:pt idx="0">
                  <c:v>Índice de capacidad</c:v>
                </c:pt>
              </c:strCache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Agregado!$O$3:$O$34</c:f>
              <c:strCache>
                <c:ptCount val="32"/>
                <c:pt idx="0">
                  <c:v>Ciudad de México</c:v>
                </c:pt>
                <c:pt idx="1">
                  <c:v>Chihuahua</c:v>
                </c:pt>
                <c:pt idx="2">
                  <c:v>Baja California Sur</c:v>
                </c:pt>
                <c:pt idx="3">
                  <c:v>Nuevo León</c:v>
                </c:pt>
                <c:pt idx="4">
                  <c:v>Guanajuato</c:v>
                </c:pt>
                <c:pt idx="5">
                  <c:v>Querétaro</c:v>
                </c:pt>
                <c:pt idx="6">
                  <c:v>Coahuila de Zaragoza</c:v>
                </c:pt>
                <c:pt idx="7">
                  <c:v>Nayarit</c:v>
                </c:pt>
                <c:pt idx="8">
                  <c:v>Baja California</c:v>
                </c:pt>
                <c:pt idx="9">
                  <c:v>Sonora</c:v>
                </c:pt>
                <c:pt idx="10">
                  <c:v>Estado de México</c:v>
                </c:pt>
                <c:pt idx="11">
                  <c:v>Campeche</c:v>
                </c:pt>
                <c:pt idx="12">
                  <c:v>Michoacán de Ocampo</c:v>
                </c:pt>
                <c:pt idx="13">
                  <c:v>Oaxaca</c:v>
                </c:pt>
                <c:pt idx="14">
                  <c:v>Tabasco</c:v>
                </c:pt>
                <c:pt idx="15">
                  <c:v>Zacatecas</c:v>
                </c:pt>
                <c:pt idx="16">
                  <c:v>Colima</c:v>
                </c:pt>
                <c:pt idx="17">
                  <c:v>Veracruz de Ignacio de la Llave</c:v>
                </c:pt>
                <c:pt idx="18">
                  <c:v>Yucatán</c:v>
                </c:pt>
                <c:pt idx="19">
                  <c:v>Durango</c:v>
                </c:pt>
                <c:pt idx="20">
                  <c:v>Aguascalientes</c:v>
                </c:pt>
                <c:pt idx="21">
                  <c:v>Chiapas</c:v>
                </c:pt>
                <c:pt idx="22">
                  <c:v>Quintana Roo</c:v>
                </c:pt>
                <c:pt idx="23">
                  <c:v>Morelos</c:v>
                </c:pt>
                <c:pt idx="24">
                  <c:v>Jalisco</c:v>
                </c:pt>
                <c:pt idx="25">
                  <c:v>Puebla</c:v>
                </c:pt>
                <c:pt idx="26">
                  <c:v>San Luis Potosí</c:v>
                </c:pt>
                <c:pt idx="27">
                  <c:v>Tamaulipas</c:v>
                </c:pt>
                <c:pt idx="28">
                  <c:v>Sinaloa</c:v>
                </c:pt>
                <c:pt idx="29">
                  <c:v>Tlaxcala</c:v>
                </c:pt>
                <c:pt idx="30">
                  <c:v>Guerrero</c:v>
                </c:pt>
                <c:pt idx="31">
                  <c:v>Hidalgo</c:v>
                </c:pt>
              </c:strCache>
            </c:strRef>
          </c:cat>
          <c:val>
            <c:numRef>
              <c:f>Agregado!$P$3:$P$34</c:f>
              <c:numCache>
                <c:formatCode>0.00%</c:formatCode>
                <c:ptCount val="32"/>
                <c:pt idx="0">
                  <c:v>0.62481952935843532</c:v>
                </c:pt>
                <c:pt idx="1">
                  <c:v>0.60642446764837388</c:v>
                </c:pt>
                <c:pt idx="2">
                  <c:v>0.53946217358609749</c:v>
                </c:pt>
                <c:pt idx="3">
                  <c:v>0.47938014465117551</c:v>
                </c:pt>
                <c:pt idx="4">
                  <c:v>0.47927273601875836</c:v>
                </c:pt>
                <c:pt idx="5">
                  <c:v>0.43352210342173381</c:v>
                </c:pt>
                <c:pt idx="6">
                  <c:v>0.42131169552090181</c:v>
                </c:pt>
                <c:pt idx="7">
                  <c:v>0.38157066313009419</c:v>
                </c:pt>
                <c:pt idx="8">
                  <c:v>0.35078513347428408</c:v>
                </c:pt>
                <c:pt idx="9">
                  <c:v>0.33850676281490716</c:v>
                </c:pt>
                <c:pt idx="10">
                  <c:v>0.32753238035468085</c:v>
                </c:pt>
                <c:pt idx="11">
                  <c:v>0.3274781511884628</c:v>
                </c:pt>
                <c:pt idx="12">
                  <c:v>0.30342161442057974</c:v>
                </c:pt>
                <c:pt idx="13">
                  <c:v>0.30039808610007429</c:v>
                </c:pt>
                <c:pt idx="14">
                  <c:v>0.29374153564474237</c:v>
                </c:pt>
                <c:pt idx="15">
                  <c:v>0.28895762294200611</c:v>
                </c:pt>
                <c:pt idx="16">
                  <c:v>0.27934444272379605</c:v>
                </c:pt>
                <c:pt idx="17">
                  <c:v>0.27677120602802247</c:v>
                </c:pt>
                <c:pt idx="18">
                  <c:v>0.26847011941830584</c:v>
                </c:pt>
                <c:pt idx="19">
                  <c:v>0.26478250952729887</c:v>
                </c:pt>
                <c:pt idx="20">
                  <c:v>0.26213521390418759</c:v>
                </c:pt>
                <c:pt idx="21">
                  <c:v>0.26093007907197291</c:v>
                </c:pt>
                <c:pt idx="22">
                  <c:v>0.25603303936687077</c:v>
                </c:pt>
                <c:pt idx="23">
                  <c:v>0.24957066577887244</c:v>
                </c:pt>
                <c:pt idx="24">
                  <c:v>0.23371473465331241</c:v>
                </c:pt>
                <c:pt idx="25">
                  <c:v>0.23037084672481611</c:v>
                </c:pt>
                <c:pt idx="26">
                  <c:v>0.22587199981032102</c:v>
                </c:pt>
                <c:pt idx="27">
                  <c:v>0.22522726589614309</c:v>
                </c:pt>
                <c:pt idx="28">
                  <c:v>0.22334114768356916</c:v>
                </c:pt>
                <c:pt idx="29">
                  <c:v>0.20672040226576316</c:v>
                </c:pt>
                <c:pt idx="30">
                  <c:v>0.19678083574814065</c:v>
                </c:pt>
                <c:pt idx="31">
                  <c:v>0.1828045557951184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4-3E4C-BA45-2B615971B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211288"/>
        <c:axId val="794360270"/>
      </c:radarChart>
      <c:catAx>
        <c:axId val="414211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94360270"/>
        <c:crosses val="autoZero"/>
        <c:auto val="1"/>
        <c:lblAlgn val="ctr"/>
        <c:lblOffset val="100"/>
        <c:noMultiLvlLbl val="1"/>
      </c:catAx>
      <c:valAx>
        <c:axId val="7943602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1421128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1</xdr:row>
      <xdr:rowOff>180975</xdr:rowOff>
    </xdr:from>
    <xdr:ext cx="7705725" cy="6572250"/>
    <xdr:graphicFrame macro="">
      <xdr:nvGraphicFramePr>
        <xdr:cNvPr id="12105773" name="Chart 1" title="Gráfico">
          <a:extLst>
            <a:ext uri="{FF2B5EF4-FFF2-40B4-BE49-F238E27FC236}">
              <a16:creationId xmlns:a16="http://schemas.microsoft.com/office/drawing/2014/main" id="{00000000-0008-0000-0500-00002DB8B8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sistemapenalcoahuila.gob.mx/" TargetMode="External"/><Relationship Id="rId7" Type="http://schemas.openxmlformats.org/officeDocument/2006/relationships/hyperlink" Target="https://cosmos.gob.mx/sistema-cosmos" TargetMode="External"/><Relationship Id="rId2" Type="http://schemas.openxmlformats.org/officeDocument/2006/relationships/hyperlink" Target="https://justiciapenalbcs.gob.mx/" TargetMode="External"/><Relationship Id="rId1" Type="http://schemas.openxmlformats.org/officeDocument/2006/relationships/hyperlink" Target="https://eservicios2.aguascalientes.gob.mx/NormatecaAdministrador/archivos/EDO-26-181.pdf" TargetMode="External"/><Relationship Id="rId6" Type="http://schemas.openxmlformats.org/officeDocument/2006/relationships/hyperlink" Target="https://www.facebook.com/sijupenl/?locale=es_LA" TargetMode="External"/><Relationship Id="rId5" Type="http://schemas.openxmlformats.org/officeDocument/2006/relationships/hyperlink" Target="https://boletines.guanajuato.gob.mx/2025/02/20/fortalecen-el-sistema-de-justicia-penal-en-el-estado-de-guanajuato/" TargetMode="External"/><Relationship Id="rId4" Type="http://schemas.openxmlformats.org/officeDocument/2006/relationships/hyperlink" Target="https://www.facebook.com/conspen.stj/?locale=es_LA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000"/>
  <sheetViews>
    <sheetView workbookViewId="0"/>
  </sheetViews>
  <sheetFormatPr baseColWidth="10" defaultColWidth="12.6640625" defaultRowHeight="15" customHeight="1" x14ac:dyDescent="0.2"/>
  <cols>
    <col min="1" max="1" width="10.6640625" customWidth="1"/>
    <col min="2" max="2" width="20.1640625" customWidth="1"/>
    <col min="3" max="3" width="16.83203125" customWidth="1"/>
    <col min="4" max="4" width="44.6640625" customWidth="1"/>
    <col min="5" max="26" width="10.6640625" customWidth="1"/>
  </cols>
  <sheetData>
    <row r="2" spans="2:7" x14ac:dyDescent="0.2">
      <c r="B2" s="1" t="s">
        <v>0</v>
      </c>
    </row>
    <row r="3" spans="2:7" x14ac:dyDescent="0.2">
      <c r="B3" s="2" t="s">
        <v>1</v>
      </c>
      <c r="C3" s="3" t="s">
        <v>2</v>
      </c>
      <c r="D3" s="3" t="s">
        <v>3</v>
      </c>
    </row>
    <row r="4" spans="2:7" x14ac:dyDescent="0.2">
      <c r="B4" s="1" t="s">
        <v>4</v>
      </c>
      <c r="C4" s="4">
        <v>0.15</v>
      </c>
      <c r="D4" s="5" t="s">
        <v>5</v>
      </c>
      <c r="F4" s="6" t="s">
        <v>6</v>
      </c>
      <c r="G4" s="6" t="s">
        <v>7</v>
      </c>
    </row>
    <row r="5" spans="2:7" ht="91" x14ac:dyDescent="0.2">
      <c r="B5" s="1" t="s">
        <v>8</v>
      </c>
      <c r="C5" s="4">
        <v>0.3</v>
      </c>
      <c r="D5" s="7" t="s">
        <v>9</v>
      </c>
      <c r="E5" s="6"/>
    </row>
    <row r="6" spans="2:7" ht="136" x14ac:dyDescent="0.2">
      <c r="B6" s="1" t="s">
        <v>10</v>
      </c>
      <c r="C6" s="4">
        <v>0.35</v>
      </c>
      <c r="D6" s="7" t="s">
        <v>11</v>
      </c>
    </row>
    <row r="7" spans="2:7" ht="61" x14ac:dyDescent="0.2">
      <c r="B7" s="1" t="s">
        <v>12</v>
      </c>
      <c r="C7" s="4">
        <v>0.2</v>
      </c>
      <c r="D7" s="7" t="s">
        <v>13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/>
  </sheetViews>
  <sheetFormatPr baseColWidth="10" defaultColWidth="12.6640625" defaultRowHeight="15" customHeight="1" x14ac:dyDescent="0.2"/>
  <cols>
    <col min="1" max="1" width="21.6640625" customWidth="1"/>
    <col min="2" max="2" width="20" customWidth="1"/>
    <col min="3" max="4" width="13" customWidth="1"/>
    <col min="5" max="26" width="10.6640625" customWidth="1"/>
  </cols>
  <sheetData>
    <row r="1" spans="1:12" x14ac:dyDescent="0.2">
      <c r="A1" s="1" t="s">
        <v>0</v>
      </c>
    </row>
    <row r="2" spans="1:12" x14ac:dyDescent="0.2">
      <c r="H2" s="4" t="s">
        <v>14</v>
      </c>
    </row>
    <row r="3" spans="1:12" x14ac:dyDescent="0.2">
      <c r="A3" s="3" t="s">
        <v>15</v>
      </c>
      <c r="B3" s="3" t="s">
        <v>16</v>
      </c>
      <c r="C3" s="3" t="s">
        <v>17</v>
      </c>
      <c r="D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23</v>
      </c>
    </row>
    <row r="4" spans="1:12" x14ac:dyDescent="0.2">
      <c r="A4" s="8" t="s">
        <v>24</v>
      </c>
      <c r="B4" s="8"/>
      <c r="C4" s="8"/>
      <c r="D4" s="9"/>
      <c r="H4" s="1" t="s">
        <v>24</v>
      </c>
      <c r="I4" s="1" t="s">
        <v>25</v>
      </c>
      <c r="L4" s="1" t="s">
        <v>26</v>
      </c>
    </row>
    <row r="5" spans="1:12" x14ac:dyDescent="0.2">
      <c r="A5" s="1" t="s">
        <v>27</v>
      </c>
      <c r="B5" s="1" t="s">
        <v>25</v>
      </c>
      <c r="C5" s="1">
        <v>0</v>
      </c>
      <c r="D5" s="4">
        <f t="shared" ref="D5:D6" si="0">C5*0.25</f>
        <v>0</v>
      </c>
      <c r="H5" s="1" t="s">
        <v>27</v>
      </c>
      <c r="I5" s="1" t="s">
        <v>25</v>
      </c>
      <c r="J5" s="1" t="s">
        <v>28</v>
      </c>
      <c r="K5" s="10" t="s">
        <v>29</v>
      </c>
      <c r="L5" s="1" t="s">
        <v>30</v>
      </c>
    </row>
    <row r="6" spans="1:12" x14ac:dyDescent="0.2">
      <c r="A6" s="1" t="s">
        <v>31</v>
      </c>
      <c r="B6" s="1" t="s">
        <v>25</v>
      </c>
      <c r="C6" s="1">
        <v>0</v>
      </c>
      <c r="D6" s="4">
        <f t="shared" si="0"/>
        <v>0</v>
      </c>
      <c r="H6" s="1" t="s">
        <v>31</v>
      </c>
      <c r="I6" s="1" t="s">
        <v>32</v>
      </c>
      <c r="K6" s="10"/>
      <c r="L6" s="1" t="s">
        <v>33</v>
      </c>
    </row>
    <row r="7" spans="1:12" x14ac:dyDescent="0.2">
      <c r="A7" s="1" t="s">
        <v>34</v>
      </c>
      <c r="B7" s="1" t="s">
        <v>35</v>
      </c>
      <c r="C7" s="1">
        <v>1</v>
      </c>
      <c r="D7" s="4">
        <v>0.15</v>
      </c>
      <c r="H7" s="1" t="s">
        <v>34</v>
      </c>
      <c r="I7" s="1" t="s">
        <v>35</v>
      </c>
      <c r="J7" s="1" t="s">
        <v>36</v>
      </c>
      <c r="K7" s="10" t="s">
        <v>37</v>
      </c>
      <c r="L7" s="1" t="s">
        <v>38</v>
      </c>
    </row>
    <row r="8" spans="1:12" x14ac:dyDescent="0.2">
      <c r="A8" s="1" t="s">
        <v>39</v>
      </c>
      <c r="B8" s="6" t="s">
        <v>25</v>
      </c>
      <c r="C8" s="6">
        <v>0</v>
      </c>
      <c r="D8" s="11">
        <v>0</v>
      </c>
      <c r="H8" s="1" t="s">
        <v>39</v>
      </c>
      <c r="I8" s="6" t="s">
        <v>25</v>
      </c>
      <c r="J8" s="6"/>
      <c r="K8" s="12"/>
    </row>
    <row r="9" spans="1:12" x14ac:dyDescent="0.2">
      <c r="A9" s="1" t="s">
        <v>40</v>
      </c>
      <c r="B9" s="1" t="s">
        <v>35</v>
      </c>
      <c r="C9" s="1">
        <v>1</v>
      </c>
      <c r="D9" s="4">
        <v>0.15</v>
      </c>
      <c r="H9" s="1" t="s">
        <v>40</v>
      </c>
      <c r="I9" s="1" t="s">
        <v>35</v>
      </c>
      <c r="J9" s="1" t="s">
        <v>41</v>
      </c>
      <c r="K9" s="10" t="s">
        <v>42</v>
      </c>
      <c r="L9" s="1" t="s">
        <v>43</v>
      </c>
    </row>
    <row r="10" spans="1:12" x14ac:dyDescent="0.2">
      <c r="A10" s="1" t="s">
        <v>44</v>
      </c>
      <c r="B10" s="1" t="s">
        <v>25</v>
      </c>
      <c r="C10" s="1">
        <v>0</v>
      </c>
      <c r="D10" s="4">
        <f t="shared" ref="D10:D11" si="1">C10*0.25</f>
        <v>0</v>
      </c>
      <c r="H10" s="1" t="s">
        <v>44</v>
      </c>
      <c r="I10" s="1" t="s">
        <v>32</v>
      </c>
    </row>
    <row r="11" spans="1:12" x14ac:dyDescent="0.2">
      <c r="A11" s="1" t="s">
        <v>45</v>
      </c>
      <c r="B11" s="1" t="s">
        <v>25</v>
      </c>
      <c r="C11" s="1">
        <v>0</v>
      </c>
      <c r="D11" s="4">
        <f t="shared" si="1"/>
        <v>0</v>
      </c>
      <c r="H11" s="1" t="s">
        <v>45</v>
      </c>
      <c r="I11" s="1" t="s">
        <v>32</v>
      </c>
      <c r="L11" s="1" t="s">
        <v>46</v>
      </c>
    </row>
    <row r="12" spans="1:12" x14ac:dyDescent="0.2">
      <c r="A12" s="1" t="s">
        <v>47</v>
      </c>
      <c r="B12" s="1" t="s">
        <v>35</v>
      </c>
      <c r="C12" s="1">
        <v>1</v>
      </c>
      <c r="D12" s="4">
        <v>0.15</v>
      </c>
      <c r="H12" s="1" t="s">
        <v>47</v>
      </c>
      <c r="I12" s="1" t="s">
        <v>35</v>
      </c>
      <c r="J12" s="1" t="s">
        <v>48</v>
      </c>
      <c r="K12" s="10" t="s">
        <v>49</v>
      </c>
      <c r="L12" s="1" t="s">
        <v>50</v>
      </c>
    </row>
    <row r="13" spans="1:12" x14ac:dyDescent="0.2">
      <c r="A13" s="1" t="s">
        <v>51</v>
      </c>
      <c r="B13" s="1" t="s">
        <v>25</v>
      </c>
      <c r="C13" s="1">
        <v>0</v>
      </c>
      <c r="D13" s="4">
        <f t="shared" ref="D13:D14" si="2">C13*0.25</f>
        <v>0</v>
      </c>
      <c r="H13" s="1" t="s">
        <v>51</v>
      </c>
      <c r="I13" s="1" t="s">
        <v>25</v>
      </c>
      <c r="L13" s="1" t="s">
        <v>46</v>
      </c>
    </row>
    <row r="14" spans="1:12" x14ac:dyDescent="0.2">
      <c r="A14" s="1" t="s">
        <v>52</v>
      </c>
      <c r="B14" s="1" t="s">
        <v>25</v>
      </c>
      <c r="C14" s="1">
        <v>0</v>
      </c>
      <c r="D14" s="4">
        <f t="shared" si="2"/>
        <v>0</v>
      </c>
      <c r="H14" s="1" t="s">
        <v>52</v>
      </c>
      <c r="I14" s="1" t="s">
        <v>32</v>
      </c>
      <c r="J14" s="1" t="s">
        <v>53</v>
      </c>
      <c r="L14" s="1" t="s">
        <v>54</v>
      </c>
    </row>
    <row r="15" spans="1:12" x14ac:dyDescent="0.2">
      <c r="A15" s="1" t="s">
        <v>55</v>
      </c>
      <c r="B15" s="1" t="s">
        <v>35</v>
      </c>
      <c r="C15" s="1">
        <v>1</v>
      </c>
      <c r="D15" s="4">
        <v>0.15</v>
      </c>
      <c r="H15" s="1" t="s">
        <v>55</v>
      </c>
      <c r="I15" s="1" t="s">
        <v>35</v>
      </c>
      <c r="J15" s="1" t="s">
        <v>56</v>
      </c>
      <c r="K15" s="10" t="s">
        <v>57</v>
      </c>
      <c r="L15" s="1" t="s">
        <v>58</v>
      </c>
    </row>
    <row r="16" spans="1:12" x14ac:dyDescent="0.2">
      <c r="A16" s="1" t="s">
        <v>59</v>
      </c>
      <c r="B16" s="1" t="s">
        <v>25</v>
      </c>
      <c r="C16" s="1">
        <v>0</v>
      </c>
      <c r="D16" s="4">
        <f t="shared" ref="D16:D22" si="3">C16*0.25</f>
        <v>0</v>
      </c>
      <c r="H16" s="1" t="s">
        <v>59</v>
      </c>
      <c r="I16" s="1" t="s">
        <v>32</v>
      </c>
    </row>
    <row r="17" spans="1:12" x14ac:dyDescent="0.2">
      <c r="A17" s="1" t="s">
        <v>60</v>
      </c>
      <c r="B17" s="1" t="s">
        <v>25</v>
      </c>
      <c r="C17" s="1">
        <v>0</v>
      </c>
      <c r="D17" s="4">
        <f t="shared" si="3"/>
        <v>0</v>
      </c>
      <c r="H17" s="1" t="s">
        <v>60</v>
      </c>
      <c r="I17" s="1" t="s">
        <v>32</v>
      </c>
    </row>
    <row r="18" spans="1:12" x14ac:dyDescent="0.2">
      <c r="A18" s="1" t="s">
        <v>61</v>
      </c>
      <c r="B18" s="1" t="s">
        <v>25</v>
      </c>
      <c r="C18" s="1">
        <v>0</v>
      </c>
      <c r="D18" s="4">
        <f t="shared" si="3"/>
        <v>0</v>
      </c>
      <c r="H18" s="1" t="s">
        <v>61</v>
      </c>
      <c r="I18" s="1" t="s">
        <v>32</v>
      </c>
    </row>
    <row r="19" spans="1:12" x14ac:dyDescent="0.2">
      <c r="A19" s="1" t="s">
        <v>62</v>
      </c>
      <c r="B19" s="1" t="s">
        <v>25</v>
      </c>
      <c r="C19" s="1">
        <v>0</v>
      </c>
      <c r="D19" s="4">
        <f t="shared" si="3"/>
        <v>0</v>
      </c>
      <c r="H19" s="1" t="s">
        <v>62</v>
      </c>
      <c r="I19" s="1" t="s">
        <v>25</v>
      </c>
      <c r="L19" s="1" t="s">
        <v>63</v>
      </c>
    </row>
    <row r="20" spans="1:12" x14ac:dyDescent="0.2">
      <c r="A20" s="1" t="s">
        <v>64</v>
      </c>
      <c r="B20" s="1" t="s">
        <v>25</v>
      </c>
      <c r="C20" s="1">
        <v>0</v>
      </c>
      <c r="D20" s="4">
        <f t="shared" si="3"/>
        <v>0</v>
      </c>
      <c r="H20" s="1" t="s">
        <v>64</v>
      </c>
      <c r="I20" s="1" t="s">
        <v>32</v>
      </c>
    </row>
    <row r="21" spans="1:12" ht="15.75" customHeight="1" x14ac:dyDescent="0.2">
      <c r="A21" s="1" t="s">
        <v>65</v>
      </c>
      <c r="B21" s="1" t="s">
        <v>25</v>
      </c>
      <c r="C21" s="1">
        <v>0</v>
      </c>
      <c r="D21" s="4">
        <f t="shared" si="3"/>
        <v>0</v>
      </c>
      <c r="H21" s="1" t="s">
        <v>65</v>
      </c>
      <c r="I21" s="1" t="s">
        <v>25</v>
      </c>
    </row>
    <row r="22" spans="1:12" ht="15.75" customHeight="1" x14ac:dyDescent="0.2">
      <c r="A22" s="1" t="s">
        <v>66</v>
      </c>
      <c r="B22" s="1" t="s">
        <v>25</v>
      </c>
      <c r="C22" s="1">
        <v>0</v>
      </c>
      <c r="D22" s="4">
        <f t="shared" si="3"/>
        <v>0</v>
      </c>
      <c r="H22" s="1" t="s">
        <v>66</v>
      </c>
      <c r="I22" s="1" t="s">
        <v>25</v>
      </c>
    </row>
    <row r="23" spans="1:12" ht="15.75" customHeight="1" x14ac:dyDescent="0.2">
      <c r="A23" s="1" t="s">
        <v>67</v>
      </c>
      <c r="B23" s="1" t="s">
        <v>35</v>
      </c>
      <c r="C23" s="1">
        <v>1</v>
      </c>
      <c r="D23" s="4">
        <v>0.15</v>
      </c>
      <c r="H23" s="1" t="s">
        <v>67</v>
      </c>
      <c r="I23" s="1" t="s">
        <v>35</v>
      </c>
      <c r="J23" s="1" t="s">
        <v>68</v>
      </c>
      <c r="K23" s="10" t="s">
        <v>69</v>
      </c>
    </row>
    <row r="24" spans="1:12" ht="15.75" customHeight="1" x14ac:dyDescent="0.2">
      <c r="A24" s="1" t="s">
        <v>70</v>
      </c>
      <c r="B24" s="1" t="s">
        <v>25</v>
      </c>
      <c r="C24" s="1">
        <v>0</v>
      </c>
      <c r="D24" s="4">
        <f t="shared" ref="D24:D25" si="4">C24*0.25</f>
        <v>0</v>
      </c>
      <c r="H24" s="1" t="s">
        <v>70</v>
      </c>
      <c r="I24" s="1" t="s">
        <v>25</v>
      </c>
    </row>
    <row r="25" spans="1:12" ht="15.75" customHeight="1" x14ac:dyDescent="0.2">
      <c r="A25" s="1" t="s">
        <v>71</v>
      </c>
      <c r="B25" s="1" t="s">
        <v>25</v>
      </c>
      <c r="C25" s="1">
        <v>0</v>
      </c>
      <c r="D25" s="4">
        <f t="shared" si="4"/>
        <v>0</v>
      </c>
      <c r="H25" s="1" t="s">
        <v>71</v>
      </c>
      <c r="I25" s="1" t="s">
        <v>32</v>
      </c>
      <c r="J25" s="1" t="s">
        <v>72</v>
      </c>
      <c r="L25" s="1" t="s">
        <v>73</v>
      </c>
    </row>
    <row r="26" spans="1:12" ht="15.75" customHeight="1" x14ac:dyDescent="0.2">
      <c r="A26" s="1" t="s">
        <v>74</v>
      </c>
      <c r="B26" s="1" t="s">
        <v>35</v>
      </c>
      <c r="C26" s="1">
        <v>1</v>
      </c>
      <c r="D26" s="4">
        <v>0.15</v>
      </c>
      <c r="H26" s="1" t="s">
        <v>74</v>
      </c>
      <c r="I26" s="1" t="s">
        <v>35</v>
      </c>
      <c r="J26" s="1" t="s">
        <v>75</v>
      </c>
      <c r="K26" s="10" t="s">
        <v>76</v>
      </c>
    </row>
    <row r="27" spans="1:12" ht="15.75" customHeight="1" x14ac:dyDescent="0.2">
      <c r="A27" s="1" t="s">
        <v>77</v>
      </c>
      <c r="B27" s="1" t="s">
        <v>25</v>
      </c>
      <c r="C27" s="1">
        <v>0</v>
      </c>
      <c r="D27" s="4">
        <f t="shared" ref="D27:D36" si="5">C27*0.25</f>
        <v>0</v>
      </c>
      <c r="H27" s="1" t="s">
        <v>77</v>
      </c>
      <c r="I27" s="1" t="s">
        <v>25</v>
      </c>
      <c r="L27" s="1" t="s">
        <v>46</v>
      </c>
    </row>
    <row r="28" spans="1:12" ht="15.75" customHeight="1" x14ac:dyDescent="0.2">
      <c r="A28" s="1" t="s">
        <v>78</v>
      </c>
      <c r="B28" s="1" t="s">
        <v>25</v>
      </c>
      <c r="C28" s="1">
        <v>0</v>
      </c>
      <c r="D28" s="4">
        <f t="shared" si="5"/>
        <v>0</v>
      </c>
      <c r="H28" s="1" t="s">
        <v>78</v>
      </c>
      <c r="I28" s="1" t="s">
        <v>25</v>
      </c>
      <c r="L28" s="1" t="s">
        <v>46</v>
      </c>
    </row>
    <row r="29" spans="1:12" ht="15.75" customHeight="1" x14ac:dyDescent="0.2">
      <c r="A29" s="1" t="s">
        <v>79</v>
      </c>
      <c r="B29" s="1" t="s">
        <v>25</v>
      </c>
      <c r="C29" s="1">
        <v>0</v>
      </c>
      <c r="D29" s="4">
        <f t="shared" si="5"/>
        <v>0</v>
      </c>
      <c r="H29" s="1" t="s">
        <v>79</v>
      </c>
      <c r="I29" s="1" t="s">
        <v>32</v>
      </c>
    </row>
    <row r="30" spans="1:12" ht="15.75" customHeight="1" x14ac:dyDescent="0.2">
      <c r="A30" s="1" t="s">
        <v>80</v>
      </c>
      <c r="B30" s="1" t="s">
        <v>25</v>
      </c>
      <c r="C30" s="1">
        <v>0</v>
      </c>
      <c r="D30" s="4">
        <f t="shared" si="5"/>
        <v>0</v>
      </c>
      <c r="H30" s="1" t="s">
        <v>80</v>
      </c>
      <c r="I30" s="1" t="s">
        <v>32</v>
      </c>
    </row>
    <row r="31" spans="1:12" ht="15.75" customHeight="1" x14ac:dyDescent="0.2">
      <c r="A31" s="1" t="s">
        <v>81</v>
      </c>
      <c r="B31" s="1" t="s">
        <v>25</v>
      </c>
      <c r="C31" s="1">
        <v>0</v>
      </c>
      <c r="D31" s="4">
        <f t="shared" si="5"/>
        <v>0</v>
      </c>
      <c r="H31" s="1" t="s">
        <v>81</v>
      </c>
      <c r="I31" s="1" t="s">
        <v>32</v>
      </c>
    </row>
    <row r="32" spans="1:12" ht="15.75" customHeight="1" x14ac:dyDescent="0.2">
      <c r="A32" s="1" t="s">
        <v>82</v>
      </c>
      <c r="B32" s="1" t="s">
        <v>25</v>
      </c>
      <c r="C32" s="1">
        <v>0</v>
      </c>
      <c r="D32" s="4">
        <f t="shared" si="5"/>
        <v>0</v>
      </c>
      <c r="H32" s="1" t="s">
        <v>82</v>
      </c>
      <c r="I32" s="1" t="s">
        <v>32</v>
      </c>
      <c r="J32" s="1" t="s">
        <v>83</v>
      </c>
      <c r="L32" s="1" t="s">
        <v>84</v>
      </c>
    </row>
    <row r="33" spans="1:12" ht="15.75" customHeight="1" x14ac:dyDescent="0.2">
      <c r="A33" s="1" t="s">
        <v>85</v>
      </c>
      <c r="B33" s="1" t="s">
        <v>25</v>
      </c>
      <c r="C33" s="1">
        <v>0</v>
      </c>
      <c r="D33" s="4">
        <f t="shared" si="5"/>
        <v>0</v>
      </c>
      <c r="H33" s="1" t="s">
        <v>85</v>
      </c>
      <c r="I33" s="1" t="s">
        <v>32</v>
      </c>
    </row>
    <row r="34" spans="1:12" ht="15.75" customHeight="1" x14ac:dyDescent="0.2">
      <c r="A34" s="1" t="s">
        <v>86</v>
      </c>
      <c r="B34" s="1" t="s">
        <v>25</v>
      </c>
      <c r="C34" s="1">
        <v>0</v>
      </c>
      <c r="D34" s="4">
        <f t="shared" si="5"/>
        <v>0</v>
      </c>
      <c r="H34" s="1" t="s">
        <v>86</v>
      </c>
      <c r="I34" s="1" t="s">
        <v>32</v>
      </c>
    </row>
    <row r="35" spans="1:12" ht="15.75" customHeight="1" x14ac:dyDescent="0.2">
      <c r="A35" s="1" t="s">
        <v>87</v>
      </c>
      <c r="B35" s="1" t="s">
        <v>25</v>
      </c>
      <c r="C35" s="1">
        <v>0</v>
      </c>
      <c r="D35" s="4">
        <f t="shared" si="5"/>
        <v>0</v>
      </c>
      <c r="H35" s="1" t="s">
        <v>87</v>
      </c>
      <c r="I35" s="1" t="s">
        <v>25</v>
      </c>
      <c r="L35" s="1" t="s">
        <v>46</v>
      </c>
    </row>
    <row r="36" spans="1:12" ht="15.75" customHeight="1" x14ac:dyDescent="0.2">
      <c r="A36" s="1" t="s">
        <v>88</v>
      </c>
      <c r="B36" s="1" t="s">
        <v>25</v>
      </c>
      <c r="C36" s="1">
        <v>0</v>
      </c>
      <c r="D36" s="4">
        <f t="shared" si="5"/>
        <v>0</v>
      </c>
      <c r="H36" s="1" t="s">
        <v>88</v>
      </c>
      <c r="I36" s="1" t="s">
        <v>25</v>
      </c>
    </row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3:B37" xr:uid="{00000000-0009-0000-0000-000001000000}"/>
  <hyperlinks>
    <hyperlink ref="K5" r:id="rId1" xr:uid="{00000000-0004-0000-0100-000000000000}"/>
    <hyperlink ref="K7" r:id="rId2" location=":~:text=La%20Comisi%C3%B3n%20de%20Consolidaci%C3%B3n%20del,Justicia%20Penal%20para%20el%20Estado." xr:uid="{00000000-0004-0000-0100-000001000000}"/>
    <hyperlink ref="K9" r:id="rId3" xr:uid="{00000000-0004-0000-0100-000002000000}"/>
    <hyperlink ref="K12" r:id="rId4" xr:uid="{00000000-0004-0000-0100-000003000000}"/>
    <hyperlink ref="K15" r:id="rId5" xr:uid="{00000000-0004-0000-0100-000004000000}"/>
    <hyperlink ref="K23" r:id="rId6" xr:uid="{00000000-0004-0000-0100-000005000000}"/>
    <hyperlink ref="K26" r:id="rId7" location="gsc.tab=0" xr:uid="{00000000-0004-0000-0100-000006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I100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12.6640625" defaultRowHeight="15" customHeight="1" x14ac:dyDescent="0.2"/>
  <cols>
    <col min="1" max="1" width="10.6640625" customWidth="1"/>
    <col min="2" max="2" width="14.1640625" customWidth="1"/>
    <col min="3" max="4" width="15.1640625" customWidth="1"/>
    <col min="5" max="5" width="14.33203125" customWidth="1"/>
    <col min="6" max="10" width="20.1640625" customWidth="1"/>
    <col min="11" max="14" width="20" customWidth="1"/>
    <col min="15" max="18" width="24.33203125" customWidth="1"/>
    <col min="19" max="20" width="23.6640625" customWidth="1"/>
    <col min="21" max="21" width="20.83203125" customWidth="1"/>
    <col min="22" max="35" width="10.6640625" customWidth="1"/>
  </cols>
  <sheetData>
    <row r="2" spans="1:28" x14ac:dyDescent="0.2">
      <c r="A2" s="1" t="s">
        <v>89</v>
      </c>
      <c r="B2" s="6" t="s">
        <v>90</v>
      </c>
      <c r="C2" s="6" t="s">
        <v>90</v>
      </c>
      <c r="D2" s="1" t="s">
        <v>91</v>
      </c>
      <c r="E2" s="6" t="s">
        <v>92</v>
      </c>
      <c r="H2" s="6"/>
      <c r="I2" s="13" t="s">
        <v>93</v>
      </c>
      <c r="N2" s="1" t="s">
        <v>94</v>
      </c>
      <c r="O2" s="1" t="s">
        <v>95</v>
      </c>
      <c r="U2" s="1" t="s">
        <v>96</v>
      </c>
      <c r="W2" s="1" t="s">
        <v>92</v>
      </c>
    </row>
    <row r="3" spans="1:28" x14ac:dyDescent="0.2">
      <c r="G3" s="6" t="s">
        <v>97</v>
      </c>
      <c r="H3" s="14">
        <f>MAX(G7:G38)</f>
        <v>6.0537962114887369</v>
      </c>
      <c r="I3" s="15"/>
      <c r="J3" s="6" t="s">
        <v>97</v>
      </c>
      <c r="K3" s="14">
        <f>MAX(J7:J38)</f>
        <v>0.85821703720827125</v>
      </c>
      <c r="L3" s="15"/>
      <c r="O3" s="6" t="s">
        <v>97</v>
      </c>
      <c r="P3" s="16">
        <f>MAX(O7:O38)</f>
        <v>7869447261.9300003</v>
      </c>
      <c r="R3" s="6" t="s">
        <v>97</v>
      </c>
      <c r="S3" s="14">
        <f>MAX(R7:R38)</f>
        <v>0.3823966068705138</v>
      </c>
      <c r="T3" s="15"/>
      <c r="X3" s="6" t="s">
        <v>97</v>
      </c>
      <c r="Y3" s="14">
        <f>MAX(X7:X38)</f>
        <v>4.2069900679121064</v>
      </c>
      <c r="Z3" s="15"/>
    </row>
    <row r="4" spans="1:28" x14ac:dyDescent="0.2">
      <c r="G4" s="6" t="s">
        <v>98</v>
      </c>
      <c r="H4" s="14">
        <f>MIN(G7:G38)</f>
        <v>4.9514608294885236E-2</v>
      </c>
      <c r="I4" s="17">
        <v>7.0000000000000007E-2</v>
      </c>
      <c r="J4" s="6" t="s">
        <v>98</v>
      </c>
      <c r="K4" s="14">
        <f>MIN(J7:J38)</f>
        <v>-0.96084065901963056</v>
      </c>
      <c r="L4" s="17">
        <v>0.03</v>
      </c>
      <c r="N4" s="1" t="s">
        <v>99</v>
      </c>
      <c r="O4" s="6" t="s">
        <v>98</v>
      </c>
      <c r="P4" s="16">
        <f>MIN(O7:O38)</f>
        <v>243159329</v>
      </c>
      <c r="Q4" s="17">
        <v>7.0000000000000007E-2</v>
      </c>
      <c r="R4" s="6" t="s">
        <v>98</v>
      </c>
      <c r="S4" s="14">
        <f>MIN(R7:R38)</f>
        <v>-0.22517562379289865</v>
      </c>
      <c r="T4" s="17">
        <v>0.03</v>
      </c>
      <c r="V4" s="18">
        <v>0.05</v>
      </c>
      <c r="W4" s="4"/>
      <c r="X4" s="6" t="s">
        <v>98</v>
      </c>
      <c r="Y4" s="14">
        <f>MIN(X7:X38)</f>
        <v>0.34690157916536868</v>
      </c>
      <c r="Z4" s="18">
        <v>0.05</v>
      </c>
      <c r="AB4" s="19">
        <f>I4+L4+Q4+T4+V4+Z4</f>
        <v>0.3</v>
      </c>
    </row>
    <row r="5" spans="1:28" x14ac:dyDescent="0.2">
      <c r="A5" s="3" t="s">
        <v>15</v>
      </c>
      <c r="B5" s="6" t="s">
        <v>100</v>
      </c>
      <c r="C5" s="6" t="s">
        <v>101</v>
      </c>
      <c r="D5" s="6" t="s">
        <v>102</v>
      </c>
      <c r="E5" s="1" t="s">
        <v>103</v>
      </c>
      <c r="F5" s="1" t="s">
        <v>104</v>
      </c>
      <c r="G5" s="1" t="s">
        <v>105</v>
      </c>
      <c r="H5" s="5" t="s">
        <v>106</v>
      </c>
      <c r="I5" s="2" t="s">
        <v>107</v>
      </c>
      <c r="J5" s="6" t="s">
        <v>108</v>
      </c>
      <c r="K5" s="5" t="s">
        <v>109</v>
      </c>
      <c r="L5" s="3" t="s">
        <v>108</v>
      </c>
      <c r="M5" s="6" t="s">
        <v>110</v>
      </c>
      <c r="N5" s="1" t="s">
        <v>111</v>
      </c>
      <c r="O5" s="1" t="s">
        <v>112</v>
      </c>
      <c r="P5" s="6" t="s">
        <v>113</v>
      </c>
      <c r="Q5" s="2" t="s">
        <v>114</v>
      </c>
      <c r="R5" s="1" t="s">
        <v>115</v>
      </c>
      <c r="S5" s="5" t="s">
        <v>116</v>
      </c>
      <c r="T5" s="3" t="s">
        <v>115</v>
      </c>
      <c r="U5" s="1" t="s">
        <v>117</v>
      </c>
      <c r="V5" s="3" t="s">
        <v>118</v>
      </c>
      <c r="W5" s="1" t="s">
        <v>119</v>
      </c>
      <c r="X5" s="1" t="s">
        <v>120</v>
      </c>
      <c r="Y5" s="5" t="s">
        <v>121</v>
      </c>
      <c r="Z5" s="3" t="s">
        <v>120</v>
      </c>
      <c r="AB5" s="3" t="s">
        <v>122</v>
      </c>
    </row>
    <row r="6" spans="1:28" x14ac:dyDescent="0.2">
      <c r="A6" s="8" t="s">
        <v>24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20"/>
      <c r="N6" s="20"/>
      <c r="O6" s="20"/>
      <c r="P6" s="20"/>
      <c r="Q6" s="20"/>
      <c r="R6" s="21"/>
      <c r="S6" s="8"/>
      <c r="T6" s="8"/>
      <c r="U6" s="8"/>
      <c r="V6" s="9"/>
      <c r="W6" s="22"/>
      <c r="X6" s="22"/>
      <c r="Y6" s="9"/>
      <c r="Z6" s="9"/>
    </row>
    <row r="7" spans="1:28" x14ac:dyDescent="0.2">
      <c r="A7" s="1" t="s">
        <v>27</v>
      </c>
      <c r="B7" s="1">
        <v>1491126</v>
      </c>
      <c r="C7" s="1">
        <v>1510839</v>
      </c>
      <c r="D7" s="1">
        <v>18</v>
      </c>
      <c r="E7" s="1">
        <v>18</v>
      </c>
      <c r="F7" s="23">
        <f t="shared" ref="F7:G7" si="0">(D7/B7)*100000</f>
        <v>1.2071414488111667</v>
      </c>
      <c r="G7" s="23">
        <f t="shared" si="0"/>
        <v>1.1913910085720583</v>
      </c>
      <c r="H7" s="24">
        <f t="shared" ref="H7:H39" si="1">(G7-$H$4)/($H$3-$H$4)</f>
        <v>0.19017702295471547</v>
      </c>
      <c r="I7" s="25">
        <f t="shared" ref="I7:I13" si="2">(H7*I$14)/H$14</f>
        <v>1.3312391606830084E-2</v>
      </c>
      <c r="J7" s="23">
        <f t="shared" ref="J7:J24" si="3">((G7-F7)/F7)</f>
        <v>-1.3047717195544891E-2</v>
      </c>
      <c r="K7" s="24">
        <f t="shared" ref="K7:K24" si="4">(J7-$K$4)/($K$3-$K$4)</f>
        <v>0.52103511823153348</v>
      </c>
      <c r="L7" s="26">
        <f t="shared" ref="L7:L13" si="5">(K7*$L$14)/$K$14</f>
        <v>1.5631053546946005E-2</v>
      </c>
      <c r="M7" s="27">
        <f t="shared" ref="M7:M38" si="6">L7+I7</f>
        <v>2.8943445153776087E-2</v>
      </c>
      <c r="N7" s="28">
        <v>574436047</v>
      </c>
      <c r="O7" s="28">
        <v>642505717</v>
      </c>
      <c r="P7" s="23">
        <f t="shared" ref="P7:P38" si="7">(O7-$P$4)/($P$3-$P$4)</f>
        <v>5.23644519472755E-2</v>
      </c>
      <c r="Q7" s="25">
        <f t="shared" ref="Q7:Q14" si="8">(P7*$Q$15)/$P$15</f>
        <v>3.6655116363092854E-3</v>
      </c>
      <c r="R7" s="23">
        <f t="shared" ref="R7:R38" si="9">(O7-N7)/N7</f>
        <v>0.1184982564299277</v>
      </c>
      <c r="S7" s="29">
        <f t="shared" ref="S7:S38" si="10">(R7-$S$4)/($S$3-$S$4)</f>
        <v>0.5656510664543809</v>
      </c>
      <c r="T7" s="26">
        <f t="shared" ref="T7:T26" si="11">(S7*$T$27)/$S$27</f>
        <v>1.6969531993631427E-2</v>
      </c>
      <c r="U7" s="1">
        <v>0</v>
      </c>
      <c r="V7" s="4">
        <v>0</v>
      </c>
      <c r="W7" s="30">
        <v>54</v>
      </c>
      <c r="X7" s="23">
        <f t="shared" ref="X7:X38" si="12">(W7/B7)*100000</f>
        <v>3.6214243464335008</v>
      </c>
      <c r="Y7" s="29">
        <f t="shared" ref="Y7:Y38" si="13">(X7-$Y$4)/($Y$3-$Y$4)</f>
        <v>0.84830251348234698</v>
      </c>
      <c r="Z7" s="26">
        <f t="shared" ref="Z7:Z13" si="14">(Y7*$Z$14)/$Y$14</f>
        <v>4.241512567411735E-2</v>
      </c>
      <c r="AB7" s="26">
        <f t="shared" ref="AB7:AB38" si="15">I7+L7+Q7+T7+V7+Z7</f>
        <v>9.1993614457834161E-2</v>
      </c>
    </row>
    <row r="8" spans="1:28" x14ac:dyDescent="0.2">
      <c r="A8" s="1" t="s">
        <v>31</v>
      </c>
      <c r="B8" s="1">
        <v>3948201</v>
      </c>
      <c r="C8" s="1">
        <v>4010510</v>
      </c>
      <c r="D8" s="1">
        <v>55</v>
      </c>
      <c r="E8" s="1">
        <v>61</v>
      </c>
      <c r="F8" s="23">
        <f t="shared" ref="F8:F39" si="16">D8/B8*100000</f>
        <v>1.3930395134391587</v>
      </c>
      <c r="G8" s="23">
        <f t="shared" ref="G8:G39" si="17">(E8/C8)*100000</f>
        <v>1.5210035631378553</v>
      </c>
      <c r="H8" s="24">
        <f t="shared" si="1"/>
        <v>0.24507327472119936</v>
      </c>
      <c r="I8" s="25">
        <f t="shared" si="2"/>
        <v>1.7155129230483956E-2</v>
      </c>
      <c r="J8" s="23">
        <f t="shared" si="3"/>
        <v>9.1859597997171624E-2</v>
      </c>
      <c r="K8" s="24">
        <f t="shared" si="4"/>
        <v>0.57870635945178617</v>
      </c>
      <c r="L8" s="26">
        <f t="shared" si="5"/>
        <v>1.7361190783553585E-2</v>
      </c>
      <c r="M8" s="27">
        <f t="shared" si="6"/>
        <v>3.4516320014037538E-2</v>
      </c>
      <c r="N8" s="28">
        <v>1296457311</v>
      </c>
      <c r="O8" s="28">
        <v>1769359358</v>
      </c>
      <c r="P8" s="23">
        <f t="shared" si="7"/>
        <v>0.20012357813162684</v>
      </c>
      <c r="Q8" s="25">
        <f t="shared" si="8"/>
        <v>1.4008650469213881E-2</v>
      </c>
      <c r="R8" s="23">
        <f t="shared" si="9"/>
        <v>0.36476484261192926</v>
      </c>
      <c r="S8" s="29">
        <f t="shared" si="10"/>
        <v>0.9709799701685965</v>
      </c>
      <c r="T8" s="26">
        <f t="shared" si="11"/>
        <v>2.9129399105057893E-2</v>
      </c>
      <c r="U8" s="1">
        <v>1</v>
      </c>
      <c r="V8" s="4">
        <v>0.05</v>
      </c>
      <c r="W8" s="30">
        <v>41</v>
      </c>
      <c r="X8" s="23">
        <f t="shared" si="12"/>
        <v>1.0384476372910092</v>
      </c>
      <c r="Y8" s="29">
        <f t="shared" si="13"/>
        <v>0.17915290287818406</v>
      </c>
      <c r="Z8" s="26">
        <f t="shared" si="14"/>
        <v>8.9576451439092025E-3</v>
      </c>
      <c r="AB8" s="26">
        <f t="shared" si="15"/>
        <v>0.13661201473221854</v>
      </c>
    </row>
    <row r="9" spans="1:28" x14ac:dyDescent="0.2">
      <c r="A9" s="1" t="s">
        <v>34</v>
      </c>
      <c r="B9" s="1">
        <v>849224</v>
      </c>
      <c r="C9" s="1">
        <v>867766</v>
      </c>
      <c r="D9" s="1">
        <v>36</v>
      </c>
      <c r="E9" s="1">
        <v>21</v>
      </c>
      <c r="F9" s="23">
        <f t="shared" si="16"/>
        <v>4.2391642252220851</v>
      </c>
      <c r="G9" s="23">
        <f t="shared" si="17"/>
        <v>2.4200072369740226</v>
      </c>
      <c r="H9" s="24">
        <f t="shared" si="1"/>
        <v>0.39480037502208482</v>
      </c>
      <c r="I9" s="25">
        <f t="shared" si="2"/>
        <v>2.7636026251545941E-2</v>
      </c>
      <c r="J9" s="31">
        <f t="shared" si="3"/>
        <v>-0.42913104838554794</v>
      </c>
      <c r="K9" s="24">
        <f t="shared" si="4"/>
        <v>0.29229947556730329</v>
      </c>
      <c r="L9" s="26">
        <f t="shared" si="5"/>
        <v>8.7689842670190983E-3</v>
      </c>
      <c r="M9" s="27">
        <f t="shared" si="6"/>
        <v>3.640501051856504E-2</v>
      </c>
      <c r="N9" s="28">
        <v>425218229</v>
      </c>
      <c r="O9" s="28">
        <v>471467668</v>
      </c>
      <c r="P9" s="23">
        <f t="shared" si="7"/>
        <v>2.9937020606601267E-2</v>
      </c>
      <c r="Q9" s="25">
        <f t="shared" si="8"/>
        <v>2.095591442462089E-3</v>
      </c>
      <c r="R9" s="23">
        <f t="shared" si="9"/>
        <v>0.10876636006120048</v>
      </c>
      <c r="S9" s="29">
        <f t="shared" si="10"/>
        <v>0.54963338842768616</v>
      </c>
      <c r="T9" s="26">
        <f t="shared" si="11"/>
        <v>1.6489001652830584E-2</v>
      </c>
      <c r="U9" s="1">
        <v>1</v>
      </c>
      <c r="V9" s="4">
        <v>0.05</v>
      </c>
      <c r="W9" s="30">
        <v>33</v>
      </c>
      <c r="X9" s="23">
        <f t="shared" si="12"/>
        <v>3.8859005397869111</v>
      </c>
      <c r="Y9" s="29">
        <f t="shared" si="13"/>
        <v>0.91681809133099856</v>
      </c>
      <c r="Z9" s="26">
        <f t="shared" si="14"/>
        <v>4.5840904566549934E-2</v>
      </c>
      <c r="AB9" s="26">
        <f t="shared" si="15"/>
        <v>0.15083050818040766</v>
      </c>
    </row>
    <row r="10" spans="1:28" x14ac:dyDescent="0.2">
      <c r="A10" s="1" t="s">
        <v>39</v>
      </c>
      <c r="B10" s="1">
        <v>945445</v>
      </c>
      <c r="C10" s="1">
        <v>950291</v>
      </c>
      <c r="D10" s="1">
        <v>9</v>
      </c>
      <c r="E10" s="1">
        <v>11</v>
      </c>
      <c r="F10" s="23">
        <f t="shared" si="16"/>
        <v>0.95193268778194384</v>
      </c>
      <c r="G10" s="23">
        <f t="shared" si="17"/>
        <v>1.1575401640129181</v>
      </c>
      <c r="H10" s="24">
        <f t="shared" si="1"/>
        <v>0.18453923865407013</v>
      </c>
      <c r="I10" s="25">
        <f t="shared" si="2"/>
        <v>1.291774670578491E-2</v>
      </c>
      <c r="J10" s="23">
        <f t="shared" si="3"/>
        <v>0.2159895115168817</v>
      </c>
      <c r="K10" s="24">
        <f t="shared" si="4"/>
        <v>0.64694493911702311</v>
      </c>
      <c r="L10" s="26">
        <f t="shared" si="5"/>
        <v>1.9408348173510694E-2</v>
      </c>
      <c r="M10" s="27">
        <f t="shared" si="6"/>
        <v>3.2326094879295608E-2</v>
      </c>
      <c r="N10" s="28">
        <v>323626925</v>
      </c>
      <c r="O10" s="28">
        <v>326562636</v>
      </c>
      <c r="P10" s="23">
        <f t="shared" si="7"/>
        <v>1.093629138232087E-2</v>
      </c>
      <c r="Q10" s="25">
        <f t="shared" si="8"/>
        <v>7.6554039676246099E-4</v>
      </c>
      <c r="R10" s="23">
        <f t="shared" si="9"/>
        <v>9.0712816926465552E-3</v>
      </c>
      <c r="S10" s="29">
        <f t="shared" si="10"/>
        <v>0.3855457732651299</v>
      </c>
      <c r="T10" s="26">
        <f t="shared" si="11"/>
        <v>1.1566373197953896E-2</v>
      </c>
      <c r="U10" s="1">
        <v>1</v>
      </c>
      <c r="V10" s="4">
        <v>0.05</v>
      </c>
      <c r="W10" s="30">
        <v>35</v>
      </c>
      <c r="X10" s="23">
        <f t="shared" si="12"/>
        <v>3.7019604524853378</v>
      </c>
      <c r="Y10" s="29">
        <f t="shared" si="13"/>
        <v>0.86916631136848954</v>
      </c>
      <c r="Z10" s="26">
        <f t="shared" si="14"/>
        <v>4.3458315568424478E-2</v>
      </c>
      <c r="AB10" s="26">
        <f t="shared" si="15"/>
        <v>0.13811632404243643</v>
      </c>
    </row>
    <row r="11" spans="1:28" x14ac:dyDescent="0.2">
      <c r="A11" s="1" t="s">
        <v>40</v>
      </c>
      <c r="B11" s="1">
        <v>3273658</v>
      </c>
      <c r="C11" s="1">
        <v>3316738</v>
      </c>
      <c r="D11" s="1">
        <v>36</v>
      </c>
      <c r="E11" s="1">
        <v>36</v>
      </c>
      <c r="F11" s="23">
        <f t="shared" si="16"/>
        <v>1.099687261161673</v>
      </c>
      <c r="G11" s="23">
        <f t="shared" si="17"/>
        <v>1.0854037913154431</v>
      </c>
      <c r="H11" s="24">
        <f t="shared" si="1"/>
        <v>0.17252508317889992</v>
      </c>
      <c r="I11" s="25">
        <f t="shared" si="2"/>
        <v>1.2076755822522996E-2</v>
      </c>
      <c r="J11" s="23">
        <f t="shared" si="3"/>
        <v>-1.2988665369408195E-2</v>
      </c>
      <c r="K11" s="24">
        <f t="shared" si="4"/>
        <v>0.52106758109747719</v>
      </c>
      <c r="L11" s="26">
        <f t="shared" si="5"/>
        <v>1.5632027432924314E-2</v>
      </c>
      <c r="M11" s="27">
        <f t="shared" si="6"/>
        <v>2.770878325544731E-2</v>
      </c>
      <c r="N11" s="28">
        <v>1093452951</v>
      </c>
      <c r="O11" s="28">
        <v>1339981857</v>
      </c>
      <c r="P11" s="23">
        <f t="shared" si="7"/>
        <v>0.14382128469920014</v>
      </c>
      <c r="Q11" s="25">
        <f t="shared" si="8"/>
        <v>1.0067489928944011E-2</v>
      </c>
      <c r="R11" s="23">
        <f t="shared" si="9"/>
        <v>0.2254590888199999</v>
      </c>
      <c r="S11" s="29">
        <f t="shared" si="10"/>
        <v>0.74169734867712322</v>
      </c>
      <c r="T11" s="26">
        <f t="shared" si="11"/>
        <v>2.2250920460313697E-2</v>
      </c>
      <c r="U11" s="1">
        <v>0</v>
      </c>
      <c r="V11" s="4">
        <v>0</v>
      </c>
      <c r="W11" s="30">
        <v>73</v>
      </c>
      <c r="X11" s="23">
        <f t="shared" si="12"/>
        <v>2.2299213906889479</v>
      </c>
      <c r="Y11" s="29">
        <f t="shared" si="13"/>
        <v>0.48781778371483475</v>
      </c>
      <c r="Z11" s="26">
        <f t="shared" si="14"/>
        <v>2.439088918574174E-2</v>
      </c>
      <c r="AB11" s="26">
        <f t="shared" si="15"/>
        <v>8.4418082830446758E-2</v>
      </c>
    </row>
    <row r="12" spans="1:28" x14ac:dyDescent="0.2">
      <c r="A12" s="1" t="s">
        <v>44</v>
      </c>
      <c r="B12" s="1">
        <v>752247</v>
      </c>
      <c r="C12" s="1">
        <v>757405</v>
      </c>
      <c r="D12" s="1">
        <v>12</v>
      </c>
      <c r="E12" s="1">
        <v>1</v>
      </c>
      <c r="F12" s="23">
        <f t="shared" si="16"/>
        <v>1.5952207187266949</v>
      </c>
      <c r="G12" s="23">
        <f t="shared" si="17"/>
        <v>0.13202975950779305</v>
      </c>
      <c r="H12" s="24">
        <f t="shared" si="1"/>
        <v>1.3742718390992122E-2</v>
      </c>
      <c r="I12" s="25">
        <f t="shared" si="2"/>
        <v>9.6199028736944857E-4</v>
      </c>
      <c r="J12" s="31">
        <f t="shared" si="3"/>
        <v>-0.91723417458295098</v>
      </c>
      <c r="K12" s="24">
        <f t="shared" si="4"/>
        <v>2.3972018329657376E-2</v>
      </c>
      <c r="L12" s="26">
        <f t="shared" si="5"/>
        <v>7.1916054988972126E-4</v>
      </c>
      <c r="M12" s="27">
        <f t="shared" si="6"/>
        <v>1.6811508372591697E-3</v>
      </c>
      <c r="N12" s="28">
        <v>275607350</v>
      </c>
      <c r="O12" s="28">
        <v>243159329</v>
      </c>
      <c r="P12" s="23">
        <f t="shared" si="7"/>
        <v>0</v>
      </c>
      <c r="Q12" s="25">
        <f t="shared" si="8"/>
        <v>0</v>
      </c>
      <c r="R12" s="31">
        <f t="shared" si="9"/>
        <v>-0.11773278542825509</v>
      </c>
      <c r="S12" s="29">
        <f t="shared" si="10"/>
        <v>0.17683961336963336</v>
      </c>
      <c r="T12" s="26">
        <f t="shared" si="11"/>
        <v>5.3051884010890003E-3</v>
      </c>
      <c r="U12" s="1">
        <v>0</v>
      </c>
      <c r="V12" s="4">
        <v>0</v>
      </c>
      <c r="W12" s="30">
        <v>18</v>
      </c>
      <c r="X12" s="23">
        <f t="shared" si="12"/>
        <v>2.3928310780900421</v>
      </c>
      <c r="Y12" s="29">
        <f t="shared" si="13"/>
        <v>0.53002139844439922</v>
      </c>
      <c r="Z12" s="26">
        <f t="shared" si="14"/>
        <v>2.6501069922219962E-2</v>
      </c>
      <c r="AB12" s="26">
        <f t="shared" si="15"/>
        <v>3.3487409160568131E-2</v>
      </c>
    </row>
    <row r="13" spans="1:28" x14ac:dyDescent="0.2">
      <c r="A13" s="1" t="s">
        <v>45</v>
      </c>
      <c r="B13" s="1">
        <v>5862882</v>
      </c>
      <c r="C13" s="1">
        <v>5946352</v>
      </c>
      <c r="D13" s="1">
        <v>25</v>
      </c>
      <c r="E13" s="1">
        <v>34</v>
      </c>
      <c r="F13" s="23">
        <f t="shared" si="16"/>
        <v>0.42641144747583182</v>
      </c>
      <c r="G13" s="23">
        <f t="shared" si="17"/>
        <v>0.57177913450128748</v>
      </c>
      <c r="H13" s="24">
        <f t="shared" si="1"/>
        <v>8.6982017287229596E-2</v>
      </c>
      <c r="I13" s="25">
        <f t="shared" si="2"/>
        <v>6.0887412101060722E-3</v>
      </c>
      <c r="J13" s="23">
        <f t="shared" si="3"/>
        <v>0.34090943825727105</v>
      </c>
      <c r="K13" s="24">
        <f t="shared" si="4"/>
        <v>0.71561781683796077</v>
      </c>
      <c r="L13" s="26">
        <f t="shared" si="5"/>
        <v>2.1468534505138824E-2</v>
      </c>
      <c r="M13" s="27">
        <f t="shared" si="6"/>
        <v>2.7557275715244897E-2</v>
      </c>
      <c r="N13" s="28">
        <v>1110214762</v>
      </c>
      <c r="O13" s="28">
        <v>1223152165</v>
      </c>
      <c r="P13" s="23">
        <f t="shared" si="7"/>
        <v>0.12850194545742641</v>
      </c>
      <c r="Q13" s="25">
        <f t="shared" si="8"/>
        <v>8.9951361820198496E-3</v>
      </c>
      <c r="R13" s="23">
        <f t="shared" si="9"/>
        <v>0.10172572628790176</v>
      </c>
      <c r="S13" s="29">
        <f t="shared" si="10"/>
        <v>0.53804524562265543</v>
      </c>
      <c r="T13" s="26">
        <f t="shared" si="11"/>
        <v>1.6141357368679662E-2</v>
      </c>
      <c r="U13" s="1">
        <v>1</v>
      </c>
      <c r="V13" s="4">
        <v>0.05</v>
      </c>
      <c r="W13" s="30">
        <v>41</v>
      </c>
      <c r="X13" s="23">
        <f t="shared" si="12"/>
        <v>0.69931477386036422</v>
      </c>
      <c r="Y13" s="29">
        <f t="shared" si="13"/>
        <v>9.1296662167818399E-2</v>
      </c>
      <c r="Z13" s="26">
        <f t="shared" si="14"/>
        <v>4.5648331083909203E-3</v>
      </c>
      <c r="AB13" s="26">
        <f t="shared" si="15"/>
        <v>0.10725860237433534</v>
      </c>
    </row>
    <row r="14" spans="1:28" x14ac:dyDescent="0.2">
      <c r="A14" s="1" t="s">
        <v>47</v>
      </c>
      <c r="B14" s="1">
        <v>3898274</v>
      </c>
      <c r="C14" s="1">
        <v>3947936</v>
      </c>
      <c r="D14" s="1">
        <v>127</v>
      </c>
      <c r="E14" s="1">
        <v>239</v>
      </c>
      <c r="F14" s="23">
        <f t="shared" si="16"/>
        <v>3.2578520647855949</v>
      </c>
      <c r="G14" s="23">
        <f t="shared" si="17"/>
        <v>6.0537962114887369</v>
      </c>
      <c r="H14" s="24">
        <f t="shared" si="1"/>
        <v>1</v>
      </c>
      <c r="I14" s="25">
        <v>7.0000000000000007E-2</v>
      </c>
      <c r="J14" s="23">
        <f t="shared" si="3"/>
        <v>0.85821703720827125</v>
      </c>
      <c r="K14" s="24">
        <f t="shared" si="4"/>
        <v>1</v>
      </c>
      <c r="L14" s="11">
        <v>0.03</v>
      </c>
      <c r="M14" s="27">
        <f t="shared" si="6"/>
        <v>0.1</v>
      </c>
      <c r="N14" s="28">
        <v>2938124694</v>
      </c>
      <c r="O14" s="28">
        <v>3004866458</v>
      </c>
      <c r="P14" s="23">
        <f t="shared" si="7"/>
        <v>0.36212993179487246</v>
      </c>
      <c r="Q14" s="25">
        <f t="shared" si="8"/>
        <v>2.5349095225641074E-2</v>
      </c>
      <c r="R14" s="23">
        <f t="shared" si="9"/>
        <v>2.2715769734448173E-2</v>
      </c>
      <c r="S14" s="29">
        <f t="shared" si="10"/>
        <v>0.40800316574158174</v>
      </c>
      <c r="T14" s="26">
        <f t="shared" si="11"/>
        <v>1.2240094972247451E-2</v>
      </c>
      <c r="U14" s="1">
        <v>1</v>
      </c>
      <c r="V14" s="4">
        <v>0.05</v>
      </c>
      <c r="W14" s="30">
        <v>164</v>
      </c>
      <c r="X14" s="23">
        <f t="shared" si="12"/>
        <v>4.2069900679121064</v>
      </c>
      <c r="Y14" s="29">
        <f t="shared" si="13"/>
        <v>1</v>
      </c>
      <c r="Z14" s="25">
        <v>0.05</v>
      </c>
      <c r="AB14" s="26">
        <f t="shared" si="15"/>
        <v>0.23758919019788854</v>
      </c>
    </row>
    <row r="15" spans="1:28" x14ac:dyDescent="0.2">
      <c r="A15" s="1" t="s">
        <v>51</v>
      </c>
      <c r="B15" s="1">
        <v>9237644</v>
      </c>
      <c r="C15" s="1">
        <v>9221637</v>
      </c>
      <c r="D15" s="1">
        <v>152</v>
      </c>
      <c r="E15" s="1">
        <v>150</v>
      </c>
      <c r="F15" s="23">
        <f t="shared" si="16"/>
        <v>1.6454411969112472</v>
      </c>
      <c r="G15" s="23">
        <f t="shared" si="17"/>
        <v>1.6266092451914989</v>
      </c>
      <c r="H15" s="24">
        <f t="shared" si="1"/>
        <v>0.2626616706414488</v>
      </c>
      <c r="I15" s="25">
        <f t="shared" ref="I15:I38" si="18">(H15*I$14)/H$14</f>
        <v>1.8386316944901417E-2</v>
      </c>
      <c r="J15" s="31">
        <f t="shared" si="3"/>
        <v>-1.1444925382383115E-2</v>
      </c>
      <c r="K15" s="24">
        <f t="shared" si="4"/>
        <v>0.52191622926857495</v>
      </c>
      <c r="L15" s="26">
        <f t="shared" ref="L15:L24" si="19">(K15*$L$14)/$K$14</f>
        <v>1.5657486878057247E-2</v>
      </c>
      <c r="M15" s="27">
        <f t="shared" si="6"/>
        <v>3.4043803822958664E-2</v>
      </c>
      <c r="N15" s="28">
        <v>7381203554.4399996</v>
      </c>
      <c r="O15" s="28">
        <v>7869447261.9300003</v>
      </c>
      <c r="P15" s="23">
        <f t="shared" si="7"/>
        <v>1</v>
      </c>
      <c r="Q15" s="25">
        <v>7.0000000000000007E-2</v>
      </c>
      <c r="R15" s="23">
        <f t="shared" si="9"/>
        <v>6.6146896490384494E-2</v>
      </c>
      <c r="S15" s="29">
        <f t="shared" si="10"/>
        <v>0.4794862332091544</v>
      </c>
      <c r="T15" s="26">
        <f t="shared" si="11"/>
        <v>1.4384586996274632E-2</v>
      </c>
      <c r="U15" s="1">
        <v>1</v>
      </c>
      <c r="V15" s="4">
        <v>0.05</v>
      </c>
      <c r="W15" s="30">
        <v>207</v>
      </c>
      <c r="X15" s="23">
        <f t="shared" si="12"/>
        <v>2.2408311036883428</v>
      </c>
      <c r="Y15" s="29">
        <f t="shared" si="13"/>
        <v>0.49064406944149613</v>
      </c>
      <c r="Z15" s="26">
        <f t="shared" ref="Z15:Z38" si="20">(Y15*$Z$14)/$Y$14</f>
        <v>2.4532203472074809E-2</v>
      </c>
      <c r="AB15" s="26">
        <f t="shared" si="15"/>
        <v>0.1929605942913081</v>
      </c>
    </row>
    <row r="16" spans="1:28" x14ac:dyDescent="0.2">
      <c r="A16" s="1" t="s">
        <v>52</v>
      </c>
      <c r="B16" s="1">
        <v>1884286</v>
      </c>
      <c r="C16" s="1">
        <v>1899457</v>
      </c>
      <c r="D16" s="1">
        <v>45</v>
      </c>
      <c r="E16" s="1">
        <v>37</v>
      </c>
      <c r="F16" s="23">
        <f t="shared" si="16"/>
        <v>2.3881724961072788</v>
      </c>
      <c r="G16" s="23">
        <f t="shared" si="17"/>
        <v>1.9479251175467514</v>
      </c>
      <c r="H16" s="24">
        <f t="shared" si="1"/>
        <v>0.31617612808867035</v>
      </c>
      <c r="I16" s="25">
        <f t="shared" si="18"/>
        <v>2.2132328966206927E-2</v>
      </c>
      <c r="J16" s="31">
        <f t="shared" si="3"/>
        <v>-0.18434488265740046</v>
      </c>
      <c r="K16" s="24">
        <f t="shared" si="4"/>
        <v>0.4268670410907881</v>
      </c>
      <c r="L16" s="26">
        <f t="shared" si="19"/>
        <v>1.2806011232723643E-2</v>
      </c>
      <c r="M16" s="27">
        <f t="shared" si="6"/>
        <v>3.4938340198930572E-2</v>
      </c>
      <c r="N16" s="28">
        <v>512774756</v>
      </c>
      <c r="O16" s="28">
        <v>506276160</v>
      </c>
      <c r="P16" s="23">
        <f t="shared" si="7"/>
        <v>3.4501297789173713E-2</v>
      </c>
      <c r="Q16" s="25">
        <f t="shared" ref="Q16:Q38" si="21">(P16*$Q$15)/$P$15</f>
        <v>2.4150908452421601E-3</v>
      </c>
      <c r="R16" s="31">
        <f t="shared" si="9"/>
        <v>-1.267339299362857E-2</v>
      </c>
      <c r="S16" s="29">
        <f t="shared" si="10"/>
        <v>0.34975632537918555</v>
      </c>
      <c r="T16" s="26">
        <f t="shared" si="11"/>
        <v>1.0492689761375566E-2</v>
      </c>
      <c r="U16" s="1">
        <v>1</v>
      </c>
      <c r="V16" s="4">
        <v>0.05</v>
      </c>
      <c r="W16" s="30">
        <v>36</v>
      </c>
      <c r="X16" s="23">
        <f t="shared" si="12"/>
        <v>1.9105379968858232</v>
      </c>
      <c r="Y16" s="29">
        <f t="shared" si="13"/>
        <v>0.40507786862371215</v>
      </c>
      <c r="Z16" s="26">
        <f t="shared" si="20"/>
        <v>2.025389343118561E-2</v>
      </c>
      <c r="AB16" s="26">
        <f t="shared" si="15"/>
        <v>0.11810001423673391</v>
      </c>
    </row>
    <row r="17" spans="1:28" x14ac:dyDescent="0.2">
      <c r="A17" s="1" t="s">
        <v>55</v>
      </c>
      <c r="B17" s="1">
        <v>6360814</v>
      </c>
      <c r="C17" s="1">
        <v>6422483</v>
      </c>
      <c r="D17" s="1">
        <v>77</v>
      </c>
      <c r="E17" s="1">
        <v>77</v>
      </c>
      <c r="F17" s="23">
        <f t="shared" si="16"/>
        <v>1.2105368904042784</v>
      </c>
      <c r="G17" s="23">
        <f t="shared" si="17"/>
        <v>1.1989132552005197</v>
      </c>
      <c r="H17" s="24">
        <f t="shared" si="1"/>
        <v>0.19142983671755767</v>
      </c>
      <c r="I17" s="25">
        <f t="shared" si="18"/>
        <v>1.3400088570229039E-2</v>
      </c>
      <c r="J17" s="23">
        <f t="shared" si="3"/>
        <v>-9.6020495499949121E-3</v>
      </c>
      <c r="K17" s="24">
        <f t="shared" si="4"/>
        <v>0.52292932293581251</v>
      </c>
      <c r="L17" s="26">
        <f t="shared" si="19"/>
        <v>1.5687879688074374E-2</v>
      </c>
      <c r="M17" s="27">
        <f t="shared" si="6"/>
        <v>2.9087968258303412E-2</v>
      </c>
      <c r="N17" s="28">
        <v>1935937925</v>
      </c>
      <c r="O17" s="28">
        <v>2157580161</v>
      </c>
      <c r="P17" s="23">
        <f t="shared" si="7"/>
        <v>0.25102918337683122</v>
      </c>
      <c r="Q17" s="25">
        <f t="shared" si="21"/>
        <v>1.7572042836378188E-2</v>
      </c>
      <c r="R17" s="23">
        <f t="shared" si="9"/>
        <v>0.11448829693235128</v>
      </c>
      <c r="S17" s="29">
        <f t="shared" si="10"/>
        <v>0.55905109480459381</v>
      </c>
      <c r="T17" s="26">
        <f t="shared" si="11"/>
        <v>1.6771532844137814E-2</v>
      </c>
      <c r="U17" s="1">
        <v>0</v>
      </c>
      <c r="V17" s="4">
        <v>0</v>
      </c>
      <c r="W17" s="30">
        <v>157</v>
      </c>
      <c r="X17" s="23">
        <f t="shared" si="12"/>
        <v>2.468237555759373</v>
      </c>
      <c r="Y17" s="29">
        <f t="shared" si="13"/>
        <v>0.54955630752463458</v>
      </c>
      <c r="Z17" s="26">
        <f t="shared" si="20"/>
        <v>2.7477815376231729E-2</v>
      </c>
      <c r="AB17" s="26">
        <f t="shared" si="15"/>
        <v>9.0909359315051147E-2</v>
      </c>
    </row>
    <row r="18" spans="1:28" x14ac:dyDescent="0.2">
      <c r="A18" s="1" t="s">
        <v>59</v>
      </c>
      <c r="B18" s="1">
        <v>3599951</v>
      </c>
      <c r="C18" s="1">
        <v>3604215</v>
      </c>
      <c r="D18" s="1">
        <v>32</v>
      </c>
      <c r="E18" s="1">
        <v>31</v>
      </c>
      <c r="F18" s="23">
        <f t="shared" si="16"/>
        <v>0.88890098781900095</v>
      </c>
      <c r="G18" s="23">
        <f t="shared" si="17"/>
        <v>0.86010407259278376</v>
      </c>
      <c r="H18" s="24">
        <f t="shared" si="1"/>
        <v>0.13500190661722503</v>
      </c>
      <c r="I18" s="25">
        <f t="shared" si="18"/>
        <v>9.4501334632057527E-3</v>
      </c>
      <c r="J18" s="31">
        <f t="shared" si="3"/>
        <v>-3.2396088676729932E-2</v>
      </c>
      <c r="K18" s="24">
        <f t="shared" si="4"/>
        <v>0.51039863785968653</v>
      </c>
      <c r="L18" s="26">
        <f t="shared" si="19"/>
        <v>1.5311959135790596E-2</v>
      </c>
      <c r="M18" s="27">
        <f t="shared" si="6"/>
        <v>2.4762092598996348E-2</v>
      </c>
      <c r="N18" s="28">
        <v>969645223</v>
      </c>
      <c r="O18" s="28">
        <v>1003374663</v>
      </c>
      <c r="P18" s="23">
        <f t="shared" si="7"/>
        <v>9.9683534202455321E-2</v>
      </c>
      <c r="Q18" s="25">
        <f t="shared" si="21"/>
        <v>6.9778473941718728E-3</v>
      </c>
      <c r="R18" s="23">
        <f t="shared" si="9"/>
        <v>3.4785341277342632E-2</v>
      </c>
      <c r="S18" s="29">
        <f t="shared" si="10"/>
        <v>0.42786841127743452</v>
      </c>
      <c r="T18" s="26">
        <f t="shared" si="11"/>
        <v>1.2836052338323035E-2</v>
      </c>
      <c r="U18" s="1">
        <v>0</v>
      </c>
      <c r="V18" s="4">
        <v>0</v>
      </c>
      <c r="W18" s="30">
        <v>31</v>
      </c>
      <c r="X18" s="23">
        <f t="shared" si="12"/>
        <v>0.861122831949657</v>
      </c>
      <c r="Y18" s="29">
        <f t="shared" si="13"/>
        <v>0.13321488724504385</v>
      </c>
      <c r="Z18" s="26">
        <f t="shared" si="20"/>
        <v>6.6607443622521932E-3</v>
      </c>
      <c r="AB18" s="26">
        <f t="shared" si="15"/>
        <v>5.1236736693743457E-2</v>
      </c>
    </row>
    <row r="19" spans="1:28" x14ac:dyDescent="0.2">
      <c r="A19" s="1" t="s">
        <v>60</v>
      </c>
      <c r="B19" s="1">
        <v>3190331</v>
      </c>
      <c r="C19" s="1">
        <v>3227801</v>
      </c>
      <c r="D19" s="1">
        <v>50</v>
      </c>
      <c r="E19" s="1">
        <v>53</v>
      </c>
      <c r="F19" s="23">
        <f t="shared" si="16"/>
        <v>1.5672355000155156</v>
      </c>
      <c r="G19" s="23">
        <f t="shared" si="17"/>
        <v>1.6419847444126823</v>
      </c>
      <c r="H19" s="24">
        <f t="shared" si="1"/>
        <v>0.26522242648824396</v>
      </c>
      <c r="I19" s="25">
        <f t="shared" si="18"/>
        <v>1.856556985417708E-2</v>
      </c>
      <c r="J19" s="23">
        <f t="shared" si="3"/>
        <v>4.7694966325371436E-2</v>
      </c>
      <c r="K19" s="24">
        <f t="shared" si="4"/>
        <v>0.55442750795445184</v>
      </c>
      <c r="L19" s="26">
        <f t="shared" si="19"/>
        <v>1.6632825238633554E-2</v>
      </c>
      <c r="M19" s="27">
        <f t="shared" si="6"/>
        <v>3.5198395092810635E-2</v>
      </c>
      <c r="N19" s="28">
        <v>588774113</v>
      </c>
      <c r="O19" s="28">
        <v>644961751</v>
      </c>
      <c r="P19" s="23">
        <f t="shared" si="7"/>
        <v>5.2686500369994359E-2</v>
      </c>
      <c r="Q19" s="25">
        <f t="shared" si="21"/>
        <v>3.6880550258996054E-3</v>
      </c>
      <c r="R19" s="23">
        <f t="shared" si="9"/>
        <v>9.5431570035756655E-2</v>
      </c>
      <c r="S19" s="29">
        <f t="shared" si="10"/>
        <v>0.52768572631863375</v>
      </c>
      <c r="T19" s="26">
        <f t="shared" si="11"/>
        <v>1.5830571789559014E-2</v>
      </c>
      <c r="U19" s="1">
        <v>1</v>
      </c>
      <c r="V19" s="4">
        <v>0.05</v>
      </c>
      <c r="W19" s="30">
        <v>52</v>
      </c>
      <c r="X19" s="23">
        <f t="shared" si="12"/>
        <v>1.6299249200161361</v>
      </c>
      <c r="Y19" s="29">
        <f t="shared" si="13"/>
        <v>0.33238184683878297</v>
      </c>
      <c r="Z19" s="26">
        <f t="shared" si="20"/>
        <v>1.6619092341939149E-2</v>
      </c>
      <c r="AB19" s="26">
        <f t="shared" si="15"/>
        <v>0.1213361142502084</v>
      </c>
    </row>
    <row r="20" spans="1:28" x14ac:dyDescent="0.2">
      <c r="A20" s="1" t="s">
        <v>61</v>
      </c>
      <c r="B20" s="1">
        <v>8647986</v>
      </c>
      <c r="C20" s="1">
        <v>8735511</v>
      </c>
      <c r="D20" s="1">
        <v>321</v>
      </c>
      <c r="E20" s="1">
        <v>35</v>
      </c>
      <c r="F20" s="23">
        <f t="shared" si="16"/>
        <v>3.7118468970694449</v>
      </c>
      <c r="G20" s="23">
        <f t="shared" si="17"/>
        <v>0.40066345288787336</v>
      </c>
      <c r="H20" s="24">
        <f t="shared" si="1"/>
        <v>5.8483073879513216E-2</v>
      </c>
      <c r="I20" s="25">
        <f t="shared" si="18"/>
        <v>4.0938151715659253E-3</v>
      </c>
      <c r="J20" s="31">
        <f t="shared" si="3"/>
        <v>-0.89205819528704089</v>
      </c>
      <c r="K20" s="24">
        <f t="shared" si="4"/>
        <v>3.781213970025292E-2</v>
      </c>
      <c r="L20" s="26">
        <f t="shared" si="19"/>
        <v>1.1343641910075875E-3</v>
      </c>
      <c r="M20" s="27">
        <f t="shared" si="6"/>
        <v>5.2281793625735123E-3</v>
      </c>
      <c r="N20" s="28">
        <v>2028821875</v>
      </c>
      <c r="O20" s="28">
        <v>2112632365</v>
      </c>
      <c r="P20" s="23">
        <f t="shared" si="7"/>
        <v>0.24513538597561885</v>
      </c>
      <c r="Q20" s="25">
        <f t="shared" si="21"/>
        <v>1.7159477018293321E-2</v>
      </c>
      <c r="R20" s="23">
        <f t="shared" si="9"/>
        <v>4.1309930178074404E-2</v>
      </c>
      <c r="S20" s="29">
        <f t="shared" si="10"/>
        <v>0.43860719848896906</v>
      </c>
      <c r="T20" s="26">
        <f t="shared" si="11"/>
        <v>1.3158215954669072E-2</v>
      </c>
      <c r="U20" s="1">
        <v>4</v>
      </c>
      <c r="V20" s="4">
        <v>0.05</v>
      </c>
      <c r="W20" s="30">
        <v>30</v>
      </c>
      <c r="X20" s="23">
        <f t="shared" si="12"/>
        <v>0.34690157916536868</v>
      </c>
      <c r="Y20" s="29">
        <f t="shared" si="13"/>
        <v>0</v>
      </c>
      <c r="Z20" s="26">
        <f t="shared" si="20"/>
        <v>0</v>
      </c>
      <c r="AB20" s="26">
        <f t="shared" si="15"/>
        <v>8.55458723355359E-2</v>
      </c>
    </row>
    <row r="21" spans="1:28" ht="15.75" customHeight="1" x14ac:dyDescent="0.2">
      <c r="A21" s="1" t="s">
        <v>62</v>
      </c>
      <c r="B21" s="1">
        <v>17379644</v>
      </c>
      <c r="C21" s="1">
        <v>17501220</v>
      </c>
      <c r="D21" s="1">
        <v>200</v>
      </c>
      <c r="E21" s="1">
        <v>206</v>
      </c>
      <c r="F21" s="23">
        <f t="shared" si="16"/>
        <v>1.1507715578063624</v>
      </c>
      <c r="G21" s="23">
        <f t="shared" si="17"/>
        <v>1.1770607991899995</v>
      </c>
      <c r="H21" s="24">
        <f t="shared" si="1"/>
        <v>0.18779035784986162</v>
      </c>
      <c r="I21" s="25">
        <f t="shared" si="18"/>
        <v>1.3145325049490314E-2</v>
      </c>
      <c r="J21" s="23">
        <f t="shared" si="3"/>
        <v>2.2844882813883999E-2</v>
      </c>
      <c r="K21" s="24">
        <f t="shared" si="4"/>
        <v>0.54076654295976367</v>
      </c>
      <c r="L21" s="26">
        <f t="shared" si="19"/>
        <v>1.622299628879291E-2</v>
      </c>
      <c r="M21" s="27">
        <f t="shared" si="6"/>
        <v>2.9368321338283224E-2</v>
      </c>
      <c r="N21" s="28">
        <v>5504189409.1499996</v>
      </c>
      <c r="O21" s="28">
        <v>5653896363</v>
      </c>
      <c r="P21" s="23">
        <f t="shared" si="7"/>
        <v>0.7094850183451189</v>
      </c>
      <c r="Q21" s="25">
        <f t="shared" si="21"/>
        <v>4.9663951284158327E-2</v>
      </c>
      <c r="R21" s="23">
        <f t="shared" si="9"/>
        <v>2.7198728590468204E-2</v>
      </c>
      <c r="S21" s="29">
        <f t="shared" si="10"/>
        <v>0.41538164459524013</v>
      </c>
      <c r="T21" s="26">
        <f t="shared" si="11"/>
        <v>1.2461449337857203E-2</v>
      </c>
      <c r="U21" s="1">
        <v>0</v>
      </c>
      <c r="V21" s="4">
        <v>0</v>
      </c>
      <c r="W21" s="30">
        <v>281</v>
      </c>
      <c r="X21" s="23">
        <f t="shared" si="12"/>
        <v>1.6168340387179392</v>
      </c>
      <c r="Y21" s="29">
        <f t="shared" si="13"/>
        <v>0.32899050455832479</v>
      </c>
      <c r="Z21" s="26">
        <f t="shared" si="20"/>
        <v>1.6449525227916241E-2</v>
      </c>
      <c r="AB21" s="26">
        <f t="shared" si="15"/>
        <v>0.10794324718821499</v>
      </c>
    </row>
    <row r="22" spans="1:28" ht="15.75" customHeight="1" x14ac:dyDescent="0.2">
      <c r="A22" s="1" t="s">
        <v>64</v>
      </c>
      <c r="B22" s="1">
        <v>4901506</v>
      </c>
      <c r="C22" s="1">
        <v>4950601</v>
      </c>
      <c r="D22" s="1">
        <v>38</v>
      </c>
      <c r="E22" s="1">
        <v>43</v>
      </c>
      <c r="F22" s="23">
        <f t="shared" si="16"/>
        <v>0.77527192662826483</v>
      </c>
      <c r="G22" s="23">
        <f t="shared" si="17"/>
        <v>0.86858141062064986</v>
      </c>
      <c r="H22" s="24">
        <f t="shared" si="1"/>
        <v>0.13641378876868121</v>
      </c>
      <c r="I22" s="25">
        <f t="shared" si="18"/>
        <v>9.5489652138076864E-3</v>
      </c>
      <c r="J22" s="23">
        <f t="shared" si="3"/>
        <v>0.12035710411725768</v>
      </c>
      <c r="K22" s="24">
        <f t="shared" si="4"/>
        <v>0.59437244095056441</v>
      </c>
      <c r="L22" s="26">
        <f t="shared" si="19"/>
        <v>1.783117322851693E-2</v>
      </c>
      <c r="M22" s="27">
        <f t="shared" si="6"/>
        <v>2.7380138442324616E-2</v>
      </c>
      <c r="N22" s="28">
        <v>1516841830</v>
      </c>
      <c r="O22" s="28">
        <v>1577398458</v>
      </c>
      <c r="P22" s="23">
        <f t="shared" si="7"/>
        <v>0.17495262973730769</v>
      </c>
      <c r="Q22" s="25">
        <f t="shared" si="21"/>
        <v>1.2246684081611539E-2</v>
      </c>
      <c r="R22" s="23">
        <f t="shared" si="9"/>
        <v>3.9922836252478611E-2</v>
      </c>
      <c r="S22" s="29">
        <f t="shared" si="10"/>
        <v>0.43632418775281151</v>
      </c>
      <c r="T22" s="26">
        <f t="shared" si="11"/>
        <v>1.3089725632584344E-2</v>
      </c>
      <c r="U22" s="1">
        <v>1</v>
      </c>
      <c r="V22" s="4">
        <v>0.05</v>
      </c>
      <c r="W22" s="30">
        <v>32</v>
      </c>
      <c r="X22" s="23">
        <f t="shared" si="12"/>
        <v>0.65286056979222307</v>
      </c>
      <c r="Y22" s="29">
        <f t="shared" si="13"/>
        <v>7.926217015978064E-2</v>
      </c>
      <c r="Z22" s="26">
        <f t="shared" si="20"/>
        <v>3.9631085079890318E-3</v>
      </c>
      <c r="AB22" s="26">
        <f t="shared" si="15"/>
        <v>0.10667965666450954</v>
      </c>
    </row>
    <row r="23" spans="1:28" ht="15.75" customHeight="1" x14ac:dyDescent="0.2">
      <c r="A23" s="1" t="s">
        <v>65</v>
      </c>
      <c r="B23" s="1">
        <v>2017078</v>
      </c>
      <c r="C23" s="1">
        <v>2030857</v>
      </c>
      <c r="D23" s="1">
        <v>25</v>
      </c>
      <c r="E23" s="1">
        <v>23</v>
      </c>
      <c r="F23" s="23">
        <f t="shared" si="16"/>
        <v>1.2394166214692739</v>
      </c>
      <c r="G23" s="23">
        <f t="shared" si="17"/>
        <v>1.1325268101102146</v>
      </c>
      <c r="H23" s="24">
        <f t="shared" si="1"/>
        <v>0.18037331913933613</v>
      </c>
      <c r="I23" s="25">
        <f t="shared" si="18"/>
        <v>1.2626132339753531E-2</v>
      </c>
      <c r="J23" s="31">
        <f t="shared" si="3"/>
        <v>-8.6242034766603429E-2</v>
      </c>
      <c r="K23" s="24">
        <f t="shared" si="4"/>
        <v>0.48079762729167025</v>
      </c>
      <c r="L23" s="26">
        <f t="shared" si="19"/>
        <v>1.4423928818750107E-2</v>
      </c>
      <c r="M23" s="27">
        <f t="shared" si="6"/>
        <v>2.7050061158503638E-2</v>
      </c>
      <c r="N23" s="28">
        <v>803327279</v>
      </c>
      <c r="O23" s="28">
        <v>947016273</v>
      </c>
      <c r="P23" s="23">
        <f t="shared" si="7"/>
        <v>9.2293518182125597E-2</v>
      </c>
      <c r="Q23" s="25">
        <f t="shared" si="21"/>
        <v>6.4605462727487925E-3</v>
      </c>
      <c r="R23" s="23">
        <f t="shared" si="9"/>
        <v>0.178867315670977</v>
      </c>
      <c r="S23" s="29">
        <f t="shared" si="10"/>
        <v>0.66501218961685959</v>
      </c>
      <c r="T23" s="26">
        <f t="shared" si="11"/>
        <v>1.9950365688505788E-2</v>
      </c>
      <c r="U23" s="1">
        <v>0</v>
      </c>
      <c r="V23" s="4">
        <v>0</v>
      </c>
      <c r="W23" s="30">
        <v>26</v>
      </c>
      <c r="X23" s="23">
        <f t="shared" si="12"/>
        <v>1.2889932863280449</v>
      </c>
      <c r="Y23" s="29">
        <f t="shared" si="13"/>
        <v>0.2440596141537022</v>
      </c>
      <c r="Z23" s="26">
        <f t="shared" si="20"/>
        <v>1.2202980707685111E-2</v>
      </c>
      <c r="AB23" s="26">
        <f t="shared" si="15"/>
        <v>6.5663953827443319E-2</v>
      </c>
    </row>
    <row r="24" spans="1:28" ht="15.75" customHeight="1" x14ac:dyDescent="0.2">
      <c r="A24" s="1" t="s">
        <v>66</v>
      </c>
      <c r="B24" s="1">
        <v>1278605</v>
      </c>
      <c r="C24" s="1">
        <v>1294124</v>
      </c>
      <c r="D24" s="1">
        <v>21</v>
      </c>
      <c r="E24" s="1">
        <v>29</v>
      </c>
      <c r="F24" s="23">
        <f t="shared" si="16"/>
        <v>1.6424149756961688</v>
      </c>
      <c r="G24" s="23">
        <f t="shared" si="17"/>
        <v>2.2408980901366484</v>
      </c>
      <c r="H24" s="24">
        <f t="shared" si="1"/>
        <v>0.36497013742261897</v>
      </c>
      <c r="I24" s="25">
        <f t="shared" si="18"/>
        <v>2.554790961958333E-2</v>
      </c>
      <c r="J24" s="23">
        <f t="shared" si="3"/>
        <v>0.36439214406627118</v>
      </c>
      <c r="K24" s="24">
        <f t="shared" si="4"/>
        <v>0.72852708621281081</v>
      </c>
      <c r="L24" s="26">
        <f t="shared" si="19"/>
        <v>2.1855812586384325E-2</v>
      </c>
      <c r="M24" s="27">
        <f t="shared" si="6"/>
        <v>4.7403722205967655E-2</v>
      </c>
      <c r="N24" s="28">
        <v>555336510</v>
      </c>
      <c r="O24" s="28">
        <v>593946924</v>
      </c>
      <c r="P24" s="23">
        <f t="shared" si="7"/>
        <v>4.5997161146422688E-2</v>
      </c>
      <c r="Q24" s="25">
        <f t="shared" si="21"/>
        <v>3.2198012802495883E-3</v>
      </c>
      <c r="R24" s="23">
        <f t="shared" si="9"/>
        <v>6.9526158112672987E-2</v>
      </c>
      <c r="S24" s="29">
        <f t="shared" si="10"/>
        <v>0.48504814247975853</v>
      </c>
      <c r="T24" s="26">
        <f t="shared" si="11"/>
        <v>1.4551444274392755E-2</v>
      </c>
      <c r="U24" s="1">
        <v>1</v>
      </c>
      <c r="V24" s="4">
        <v>0.05</v>
      </c>
      <c r="W24" s="30">
        <v>21</v>
      </c>
      <c r="X24" s="23">
        <f t="shared" si="12"/>
        <v>1.6424149756961688</v>
      </c>
      <c r="Y24" s="29">
        <f t="shared" si="13"/>
        <v>0.33561753838223979</v>
      </c>
      <c r="Z24" s="26">
        <f t="shared" si="20"/>
        <v>1.6780876919111992E-2</v>
      </c>
      <c r="AB24" s="26">
        <f t="shared" si="15"/>
        <v>0.13195584467972199</v>
      </c>
    </row>
    <row r="25" spans="1:28" ht="15.75" customHeight="1" x14ac:dyDescent="0.2">
      <c r="A25" s="1" t="s">
        <v>67</v>
      </c>
      <c r="B25" s="1">
        <v>6095498</v>
      </c>
      <c r="C25" s="1">
        <v>6202153</v>
      </c>
      <c r="D25" s="1" t="s">
        <v>123</v>
      </c>
      <c r="E25" s="1">
        <v>48</v>
      </c>
      <c r="F25" s="23" t="e">
        <f t="shared" si="16"/>
        <v>#VALUE!</v>
      </c>
      <c r="G25" s="23">
        <f t="shared" si="17"/>
        <v>0.77392479676009285</v>
      </c>
      <c r="H25" s="24">
        <f t="shared" si="1"/>
        <v>0.12064893626572624</v>
      </c>
      <c r="I25" s="25">
        <f t="shared" si="18"/>
        <v>8.4454255386008387E-3</v>
      </c>
      <c r="J25" s="32"/>
      <c r="K25" s="33" t="s">
        <v>123</v>
      </c>
      <c r="L25" s="34">
        <v>0</v>
      </c>
      <c r="M25" s="27">
        <f t="shared" si="6"/>
        <v>8.4454255386008387E-3</v>
      </c>
      <c r="N25" s="28">
        <v>2735111007</v>
      </c>
      <c r="O25" s="28">
        <v>2917680886</v>
      </c>
      <c r="P25" s="23">
        <f t="shared" si="7"/>
        <v>0.3506976894291553</v>
      </c>
      <c r="Q25" s="25">
        <f t="shared" si="21"/>
        <v>2.4548838260040874E-2</v>
      </c>
      <c r="R25" s="23">
        <f t="shared" si="9"/>
        <v>6.6750445789127713E-2</v>
      </c>
      <c r="S25" s="29">
        <f t="shared" si="10"/>
        <v>0.4804796118862612</v>
      </c>
      <c r="T25" s="26">
        <f t="shared" si="11"/>
        <v>1.4414388356587836E-2</v>
      </c>
      <c r="U25" s="1">
        <v>1</v>
      </c>
      <c r="V25" s="4">
        <v>0.05</v>
      </c>
      <c r="W25" s="30">
        <v>68</v>
      </c>
      <c r="X25" s="23">
        <f t="shared" si="12"/>
        <v>1.1155774310811029</v>
      </c>
      <c r="Y25" s="29">
        <f t="shared" si="13"/>
        <v>0.19913425667744256</v>
      </c>
      <c r="Z25" s="26">
        <f t="shared" si="20"/>
        <v>9.9567128338721288E-3</v>
      </c>
      <c r="AB25" s="26">
        <f t="shared" si="15"/>
        <v>0.10736536498910168</v>
      </c>
    </row>
    <row r="26" spans="1:28" ht="15.75" customHeight="1" x14ac:dyDescent="0.2">
      <c r="A26" s="1" t="s">
        <v>70</v>
      </c>
      <c r="B26" s="1">
        <v>4244538</v>
      </c>
      <c r="C26" s="1">
        <v>4276769</v>
      </c>
      <c r="D26" s="1">
        <v>76</v>
      </c>
      <c r="E26" s="1">
        <v>66</v>
      </c>
      <c r="F26" s="23">
        <f t="shared" si="16"/>
        <v>1.790536449432188</v>
      </c>
      <c r="G26" s="23">
        <f t="shared" si="17"/>
        <v>1.5432210624422316</v>
      </c>
      <c r="H26" s="24">
        <f t="shared" si="1"/>
        <v>0.24877355075298274</v>
      </c>
      <c r="I26" s="25">
        <f t="shared" si="18"/>
        <v>1.7414148552708793E-2</v>
      </c>
      <c r="J26" s="31">
        <f t="shared" ref="J26:J39" si="22">((G26-F26)/F26)</f>
        <v>-0.13812362606099682</v>
      </c>
      <c r="K26" s="24">
        <f t="shared" ref="K26:K38" si="23">(J26-$K$4)/($K$3-$K$4)</f>
        <v>0.45227649164986083</v>
      </c>
      <c r="L26" s="26">
        <f t="shared" ref="L26:L38" si="24">(K26*$L$14)/$K$14</f>
        <v>1.3568294749495825E-2</v>
      </c>
      <c r="M26" s="27">
        <f t="shared" si="6"/>
        <v>3.0982443302204617E-2</v>
      </c>
      <c r="N26" s="28">
        <v>1108050783</v>
      </c>
      <c r="O26" s="28">
        <v>1137137477</v>
      </c>
      <c r="P26" s="23">
        <f t="shared" si="7"/>
        <v>0.11722323571600789</v>
      </c>
      <c r="Q26" s="25">
        <f t="shared" si="21"/>
        <v>8.2056265001205532E-3</v>
      </c>
      <c r="R26" s="23">
        <f t="shared" si="9"/>
        <v>2.6250325748833483E-2</v>
      </c>
      <c r="S26" s="29">
        <f t="shared" si="10"/>
        <v>0.41382067325097849</v>
      </c>
      <c r="T26" s="26">
        <f t="shared" si="11"/>
        <v>1.2414620197529353E-2</v>
      </c>
      <c r="U26" s="1">
        <v>1</v>
      </c>
      <c r="V26" s="4">
        <v>0.05</v>
      </c>
      <c r="W26" s="30">
        <v>62</v>
      </c>
      <c r="X26" s="23">
        <f t="shared" si="12"/>
        <v>1.4607007876946796</v>
      </c>
      <c r="Y26" s="29">
        <f t="shared" si="13"/>
        <v>0.28854240305017731</v>
      </c>
      <c r="Z26" s="26">
        <f t="shared" si="20"/>
        <v>1.4427120152508867E-2</v>
      </c>
      <c r="AB26" s="26">
        <f t="shared" si="15"/>
        <v>0.1160298101523634</v>
      </c>
    </row>
    <row r="27" spans="1:28" ht="15.75" customHeight="1" x14ac:dyDescent="0.2">
      <c r="A27" s="1" t="s">
        <v>71</v>
      </c>
      <c r="B27" s="1">
        <v>6824785</v>
      </c>
      <c r="C27" s="1">
        <v>6907421</v>
      </c>
      <c r="D27" s="1">
        <v>27</v>
      </c>
      <c r="E27" s="1">
        <v>27</v>
      </c>
      <c r="F27" s="23">
        <f t="shared" si="16"/>
        <v>0.39561685826000381</v>
      </c>
      <c r="G27" s="23">
        <f t="shared" si="17"/>
        <v>0.39088394930611581</v>
      </c>
      <c r="H27" s="24">
        <f t="shared" si="1"/>
        <v>5.6854318896309972E-2</v>
      </c>
      <c r="I27" s="25">
        <f t="shared" si="18"/>
        <v>3.9798023227416981E-3</v>
      </c>
      <c r="J27" s="23">
        <f t="shared" si="22"/>
        <v>-1.1963365198096498E-2</v>
      </c>
      <c r="K27" s="24">
        <f t="shared" si="23"/>
        <v>0.52163122466603351</v>
      </c>
      <c r="L27" s="26">
        <f t="shared" si="24"/>
        <v>1.5648936739981006E-2</v>
      </c>
      <c r="M27" s="27">
        <f t="shared" si="6"/>
        <v>1.9628739062722705E-2</v>
      </c>
      <c r="N27" s="28">
        <v>990338628</v>
      </c>
      <c r="O27" s="28">
        <v>1369040759</v>
      </c>
      <c r="P27" s="23">
        <f t="shared" si="7"/>
        <v>0.14763164463519532</v>
      </c>
      <c r="Q27" s="25">
        <f t="shared" si="21"/>
        <v>1.0334215124463673E-2</v>
      </c>
      <c r="R27" s="23">
        <f t="shared" si="9"/>
        <v>0.3823966068705138</v>
      </c>
      <c r="S27" s="29">
        <f t="shared" si="10"/>
        <v>1</v>
      </c>
      <c r="T27" s="25">
        <v>0.03</v>
      </c>
      <c r="U27" s="1">
        <v>0</v>
      </c>
      <c r="V27" s="4">
        <v>0</v>
      </c>
      <c r="W27" s="30">
        <v>50</v>
      </c>
      <c r="X27" s="23">
        <f t="shared" si="12"/>
        <v>0.73262381159259959</v>
      </c>
      <c r="Y27" s="29">
        <f t="shared" si="13"/>
        <v>9.992574873651773E-2</v>
      </c>
      <c r="Z27" s="26">
        <f t="shared" si="20"/>
        <v>4.9962874368258865E-3</v>
      </c>
      <c r="AB27" s="26">
        <f t="shared" si="15"/>
        <v>6.4959241624012259E-2</v>
      </c>
    </row>
    <row r="28" spans="1:28" ht="15.75" customHeight="1" x14ac:dyDescent="0.2">
      <c r="A28" s="1" t="s">
        <v>74</v>
      </c>
      <c r="B28" s="1">
        <v>2508214</v>
      </c>
      <c r="C28" s="1">
        <v>2557915</v>
      </c>
      <c r="D28" s="1">
        <v>16</v>
      </c>
      <c r="E28" s="1">
        <v>20</v>
      </c>
      <c r="F28" s="23">
        <f t="shared" si="16"/>
        <v>0.63790410228154382</v>
      </c>
      <c r="G28" s="23">
        <f t="shared" si="17"/>
        <v>0.78188681015592776</v>
      </c>
      <c r="H28" s="24">
        <f t="shared" si="1"/>
        <v>0.12197499222412761</v>
      </c>
      <c r="I28" s="25">
        <f t="shared" si="18"/>
        <v>8.538249455688934E-3</v>
      </c>
      <c r="J28" s="23">
        <f t="shared" si="22"/>
        <v>0.225712152280275</v>
      </c>
      <c r="K28" s="24">
        <f t="shared" si="23"/>
        <v>0.65228981673335962</v>
      </c>
      <c r="L28" s="26">
        <f t="shared" si="24"/>
        <v>1.9568694502000789E-2</v>
      </c>
      <c r="M28" s="27">
        <f t="shared" si="6"/>
        <v>2.8106943957689721E-2</v>
      </c>
      <c r="N28" s="28">
        <v>1153600662</v>
      </c>
      <c r="O28" s="28">
        <v>1448406813</v>
      </c>
      <c r="P28" s="23">
        <f t="shared" si="7"/>
        <v>0.15803854963248773</v>
      </c>
      <c r="Q28" s="25">
        <f t="shared" si="21"/>
        <v>1.1062698474274142E-2</v>
      </c>
      <c r="R28" s="23">
        <f t="shared" si="9"/>
        <v>0.2555530355616249</v>
      </c>
      <c r="S28" s="29">
        <f t="shared" si="10"/>
        <v>0.79122882036529629</v>
      </c>
      <c r="T28" s="26">
        <f t="shared" ref="T28:T38" si="25">(S28*$T$27)/$S$27</f>
        <v>2.3736864610958888E-2</v>
      </c>
      <c r="U28" s="1">
        <v>1</v>
      </c>
      <c r="V28" s="4">
        <v>0.05</v>
      </c>
      <c r="W28" s="30">
        <v>48</v>
      </c>
      <c r="X28" s="23">
        <f t="shared" si="12"/>
        <v>1.9137123068446313</v>
      </c>
      <c r="Y28" s="29">
        <f t="shared" si="13"/>
        <v>0.40590020986486819</v>
      </c>
      <c r="Z28" s="26">
        <f t="shared" si="20"/>
        <v>2.029501049324341E-2</v>
      </c>
      <c r="AB28" s="26">
        <f t="shared" si="15"/>
        <v>0.13320151753616616</v>
      </c>
    </row>
    <row r="29" spans="1:28" ht="15.75" customHeight="1" x14ac:dyDescent="0.2">
      <c r="A29" s="1" t="s">
        <v>77</v>
      </c>
      <c r="B29" s="1">
        <v>1977161</v>
      </c>
      <c r="C29" s="1">
        <v>2019606</v>
      </c>
      <c r="D29" s="1">
        <v>25</v>
      </c>
      <c r="E29" s="1">
        <v>1</v>
      </c>
      <c r="F29" s="23">
        <f t="shared" si="16"/>
        <v>1.2644392641772724</v>
      </c>
      <c r="G29" s="23">
        <f t="shared" si="17"/>
        <v>4.9514608294885236E-2</v>
      </c>
      <c r="H29" s="24">
        <f t="shared" si="1"/>
        <v>0</v>
      </c>
      <c r="I29" s="25">
        <f t="shared" si="18"/>
        <v>0</v>
      </c>
      <c r="J29" s="31">
        <f t="shared" si="22"/>
        <v>-0.96084065901963056</v>
      </c>
      <c r="K29" s="24">
        <f t="shared" si="23"/>
        <v>0</v>
      </c>
      <c r="L29" s="26">
        <f t="shared" si="24"/>
        <v>0</v>
      </c>
      <c r="M29" s="27">
        <f t="shared" si="6"/>
        <v>0</v>
      </c>
      <c r="N29" s="28">
        <v>764659335</v>
      </c>
      <c r="O29" s="28">
        <v>839092530</v>
      </c>
      <c r="P29" s="23">
        <f t="shared" si="7"/>
        <v>7.8141975000286149E-2</v>
      </c>
      <c r="Q29" s="25">
        <f t="shared" si="21"/>
        <v>5.4699382500200313E-3</v>
      </c>
      <c r="R29" s="23">
        <f t="shared" si="9"/>
        <v>9.7341641686751912E-2</v>
      </c>
      <c r="S29" s="29">
        <f t="shared" si="10"/>
        <v>0.53082950339499824</v>
      </c>
      <c r="T29" s="26">
        <f t="shared" si="25"/>
        <v>1.5924885101849945E-2</v>
      </c>
      <c r="U29" s="1">
        <v>0</v>
      </c>
      <c r="V29" s="4">
        <v>0</v>
      </c>
      <c r="W29" s="30">
        <v>52</v>
      </c>
      <c r="X29" s="23">
        <f t="shared" si="12"/>
        <v>2.6300336694887263</v>
      </c>
      <c r="Y29" s="29">
        <f t="shared" si="13"/>
        <v>0.59147143827902937</v>
      </c>
      <c r="Z29" s="26">
        <f t="shared" si="20"/>
        <v>2.957357191395147E-2</v>
      </c>
      <c r="AB29" s="26">
        <f t="shared" si="15"/>
        <v>5.0968395265821448E-2</v>
      </c>
    </row>
    <row r="30" spans="1:28" ht="15.75" customHeight="1" x14ac:dyDescent="0.2">
      <c r="A30" s="1" t="s">
        <v>78</v>
      </c>
      <c r="B30" s="1">
        <v>2905759</v>
      </c>
      <c r="C30" s="1">
        <v>2931052</v>
      </c>
      <c r="D30" s="1">
        <v>20</v>
      </c>
      <c r="E30" s="1">
        <v>19</v>
      </c>
      <c r="F30" s="23">
        <f t="shared" si="16"/>
        <v>0.68828832673322182</v>
      </c>
      <c r="G30" s="23">
        <f t="shared" si="17"/>
        <v>0.64823141998163125</v>
      </c>
      <c r="H30" s="24">
        <f t="shared" si="1"/>
        <v>9.9714978619302466E-2</v>
      </c>
      <c r="I30" s="25">
        <f t="shared" si="18"/>
        <v>6.9800485033511732E-3</v>
      </c>
      <c r="J30" s="31">
        <f t="shared" si="22"/>
        <v>-5.8197858652797536E-2</v>
      </c>
      <c r="K30" s="24">
        <f t="shared" si="23"/>
        <v>0.49621449734035522</v>
      </c>
      <c r="L30" s="26">
        <f t="shared" si="24"/>
        <v>1.4886434920210656E-2</v>
      </c>
      <c r="M30" s="27">
        <f t="shared" si="6"/>
        <v>2.1866483423561831E-2</v>
      </c>
      <c r="N30" s="28">
        <v>1321503084</v>
      </c>
      <c r="O30" s="28">
        <v>1316213153</v>
      </c>
      <c r="P30" s="23">
        <f t="shared" si="7"/>
        <v>0.14070460405338189</v>
      </c>
      <c r="Q30" s="25">
        <f t="shared" si="21"/>
        <v>9.8493222837367327E-3</v>
      </c>
      <c r="R30" s="23">
        <f t="shared" si="9"/>
        <v>-4.0029653082519785E-3</v>
      </c>
      <c r="S30" s="29">
        <f t="shared" si="10"/>
        <v>0.36402693757604204</v>
      </c>
      <c r="T30" s="26">
        <f t="shared" si="25"/>
        <v>1.0920808127281261E-2</v>
      </c>
      <c r="U30" s="1">
        <v>1</v>
      </c>
      <c r="V30" s="4">
        <v>0.05</v>
      </c>
      <c r="W30" s="30">
        <v>24</v>
      </c>
      <c r="X30" s="23">
        <f t="shared" si="12"/>
        <v>0.82594599207986619</v>
      </c>
      <c r="Y30" s="29">
        <f t="shared" si="13"/>
        <v>0.12410192520483639</v>
      </c>
      <c r="Z30" s="26">
        <f t="shared" si="20"/>
        <v>6.2050962602418196E-3</v>
      </c>
      <c r="AB30" s="26">
        <f t="shared" si="15"/>
        <v>9.884171009482165E-2</v>
      </c>
    </row>
    <row r="31" spans="1:28" ht="15.75" customHeight="1" x14ac:dyDescent="0.2">
      <c r="A31" s="1" t="s">
        <v>79</v>
      </c>
      <c r="B31" s="1">
        <v>3118470</v>
      </c>
      <c r="C31" s="1">
        <v>3142699</v>
      </c>
      <c r="D31" s="1">
        <v>25</v>
      </c>
      <c r="E31" s="1">
        <v>31</v>
      </c>
      <c r="F31" s="23">
        <f t="shared" si="16"/>
        <v>0.80167518045708319</v>
      </c>
      <c r="G31" s="23">
        <f t="shared" si="17"/>
        <v>0.98641327088594866</v>
      </c>
      <c r="H31" s="24">
        <f t="shared" si="1"/>
        <v>0.156038427993234</v>
      </c>
      <c r="I31" s="25">
        <f t="shared" si="18"/>
        <v>1.0922689959526381E-2</v>
      </c>
      <c r="J31" s="23">
        <f t="shared" si="22"/>
        <v>0.23044007714388162</v>
      </c>
      <c r="K31" s="24">
        <f t="shared" si="23"/>
        <v>0.65488892333311777</v>
      </c>
      <c r="L31" s="26">
        <f t="shared" si="24"/>
        <v>1.9646667699993531E-2</v>
      </c>
      <c r="M31" s="27">
        <f t="shared" si="6"/>
        <v>3.0569357659519913E-2</v>
      </c>
      <c r="N31" s="28">
        <v>793626698</v>
      </c>
      <c r="O31" s="28">
        <v>834563127</v>
      </c>
      <c r="P31" s="23">
        <f t="shared" si="7"/>
        <v>7.7548055253243528E-2</v>
      </c>
      <c r="Q31" s="25">
        <f t="shared" si="21"/>
        <v>5.4283638677270476E-3</v>
      </c>
      <c r="R31" s="23">
        <f t="shared" si="9"/>
        <v>5.1581466580147735E-2</v>
      </c>
      <c r="S31" s="29">
        <f t="shared" si="10"/>
        <v>0.45551306726255963</v>
      </c>
      <c r="T31" s="26">
        <f t="shared" si="25"/>
        <v>1.3665392017876789E-2</v>
      </c>
      <c r="U31" s="1">
        <v>0</v>
      </c>
      <c r="V31" s="4">
        <v>0</v>
      </c>
      <c r="W31" s="30">
        <v>30</v>
      </c>
      <c r="X31" s="23">
        <f t="shared" si="12"/>
        <v>0.96201021654849983</v>
      </c>
      <c r="Y31" s="29">
        <f t="shared" si="13"/>
        <v>0.1593509162228661</v>
      </c>
      <c r="Z31" s="26">
        <f t="shared" si="20"/>
        <v>7.9675458111433048E-3</v>
      </c>
      <c r="AB31" s="26">
        <f t="shared" si="15"/>
        <v>5.7630659356267051E-2</v>
      </c>
    </row>
    <row r="32" spans="1:28" ht="15.75" customHeight="1" x14ac:dyDescent="0.2">
      <c r="A32" s="1" t="s">
        <v>80</v>
      </c>
      <c r="B32" s="1">
        <v>3051188</v>
      </c>
      <c r="C32" s="1">
        <v>3081734</v>
      </c>
      <c r="D32" s="1">
        <v>40</v>
      </c>
      <c r="E32" s="1">
        <v>40</v>
      </c>
      <c r="F32" s="23">
        <f t="shared" si="16"/>
        <v>1.310964778309301</v>
      </c>
      <c r="G32" s="23">
        <f t="shared" si="17"/>
        <v>1.2979705581338299</v>
      </c>
      <c r="H32" s="24">
        <f t="shared" si="1"/>
        <v>0.20792761438351837</v>
      </c>
      <c r="I32" s="25">
        <f t="shared" si="18"/>
        <v>1.4554933006846286E-2</v>
      </c>
      <c r="J32" s="23">
        <f t="shared" si="22"/>
        <v>-9.9119521671888582E-3</v>
      </c>
      <c r="K32" s="24">
        <f t="shared" si="23"/>
        <v>0.5227589585664818</v>
      </c>
      <c r="L32" s="26">
        <f t="shared" si="24"/>
        <v>1.5682768756994453E-2</v>
      </c>
      <c r="M32" s="27">
        <f t="shared" si="6"/>
        <v>3.0237701763840739E-2</v>
      </c>
      <c r="N32" s="28">
        <v>1477737885</v>
      </c>
      <c r="O32" s="28">
        <v>1631430220</v>
      </c>
      <c r="P32" s="23">
        <f t="shared" si="7"/>
        <v>0.18203756574748547</v>
      </c>
      <c r="Q32" s="25">
        <f t="shared" si="21"/>
        <v>1.2742629602323984E-2</v>
      </c>
      <c r="R32" s="23">
        <f t="shared" si="9"/>
        <v>0.10400513958536023</v>
      </c>
      <c r="S32" s="29">
        <f t="shared" si="10"/>
        <v>0.54179692020950998</v>
      </c>
      <c r="T32" s="26">
        <f t="shared" si="25"/>
        <v>1.6253907606285298E-2</v>
      </c>
      <c r="U32" s="1">
        <v>1</v>
      </c>
      <c r="V32" s="4">
        <v>0.05</v>
      </c>
      <c r="W32" s="30">
        <v>40</v>
      </c>
      <c r="X32" s="23">
        <f t="shared" si="12"/>
        <v>1.310964778309301</v>
      </c>
      <c r="Y32" s="29">
        <f t="shared" si="13"/>
        <v>0.24975158003617079</v>
      </c>
      <c r="Z32" s="26">
        <f t="shared" si="20"/>
        <v>1.248757900180854E-2</v>
      </c>
      <c r="AB32" s="26">
        <f t="shared" si="15"/>
        <v>0.12172181797425856</v>
      </c>
    </row>
    <row r="33" spans="1:35" ht="15.75" customHeight="1" x14ac:dyDescent="0.2">
      <c r="A33" s="1" t="s">
        <v>81</v>
      </c>
      <c r="B33" s="1">
        <v>2447193</v>
      </c>
      <c r="C33" s="1">
        <v>2454787</v>
      </c>
      <c r="D33" s="1">
        <v>48</v>
      </c>
      <c r="E33" s="1">
        <v>50</v>
      </c>
      <c r="F33" s="23">
        <f t="shared" si="16"/>
        <v>1.9614309128867238</v>
      </c>
      <c r="G33" s="23">
        <f t="shared" si="17"/>
        <v>2.0368365972281914</v>
      </c>
      <c r="H33" s="24">
        <f t="shared" si="1"/>
        <v>0.3309841410296599</v>
      </c>
      <c r="I33" s="25">
        <f t="shared" si="18"/>
        <v>2.3168889872076194E-2</v>
      </c>
      <c r="J33" s="23">
        <f t="shared" si="22"/>
        <v>3.8444221433468595E-2</v>
      </c>
      <c r="K33" s="24">
        <f t="shared" si="23"/>
        <v>0.54934204809735898</v>
      </c>
      <c r="L33" s="26">
        <f t="shared" si="24"/>
        <v>1.6480261442920769E-2</v>
      </c>
      <c r="M33" s="27">
        <f t="shared" si="6"/>
        <v>3.9649151314996967E-2</v>
      </c>
      <c r="N33" s="28">
        <v>896431214</v>
      </c>
      <c r="O33" s="28">
        <v>914628744</v>
      </c>
      <c r="P33" s="23">
        <f t="shared" si="7"/>
        <v>8.8046690723624851E-2</v>
      </c>
      <c r="Q33" s="25">
        <f t="shared" si="21"/>
        <v>6.1632683506537399E-3</v>
      </c>
      <c r="R33" s="23">
        <f t="shared" si="9"/>
        <v>2.0299973624077754E-2</v>
      </c>
      <c r="S33" s="29">
        <f t="shared" si="10"/>
        <v>0.40402701938655072</v>
      </c>
      <c r="T33" s="26">
        <f t="shared" si="25"/>
        <v>1.2120810581596522E-2</v>
      </c>
      <c r="U33" s="1">
        <v>0</v>
      </c>
      <c r="V33" s="4">
        <v>0</v>
      </c>
      <c r="W33" s="30">
        <v>47</v>
      </c>
      <c r="X33" s="23">
        <f t="shared" si="12"/>
        <v>1.9205677688682501</v>
      </c>
      <c r="Y33" s="29">
        <f t="shared" si="13"/>
        <v>0.40767619558219159</v>
      </c>
      <c r="Z33" s="26">
        <f t="shared" si="20"/>
        <v>2.0383809779109582E-2</v>
      </c>
      <c r="AB33" s="26">
        <f t="shared" si="15"/>
        <v>7.831704002635681E-2</v>
      </c>
    </row>
    <row r="34" spans="1:35" ht="15.75" customHeight="1" x14ac:dyDescent="0.2">
      <c r="A34" s="1" t="s">
        <v>82</v>
      </c>
      <c r="B34" s="1">
        <v>3652671</v>
      </c>
      <c r="C34" s="1">
        <v>3685588</v>
      </c>
      <c r="D34" s="1">
        <v>31</v>
      </c>
      <c r="E34" s="1">
        <v>36</v>
      </c>
      <c r="F34" s="23">
        <f t="shared" si="16"/>
        <v>0.84869401049259563</v>
      </c>
      <c r="G34" s="23">
        <f t="shared" si="17"/>
        <v>0.97677765393201843</v>
      </c>
      <c r="H34" s="24">
        <f t="shared" si="1"/>
        <v>0.15443363701394269</v>
      </c>
      <c r="I34" s="25">
        <f t="shared" si="18"/>
        <v>1.081035459097599E-2</v>
      </c>
      <c r="J34" s="23">
        <f t="shared" si="22"/>
        <v>0.15091851934371611</v>
      </c>
      <c r="K34" s="24">
        <f t="shared" si="23"/>
        <v>0.61117312588201667</v>
      </c>
      <c r="L34" s="26">
        <f t="shared" si="24"/>
        <v>1.83351937764605E-2</v>
      </c>
      <c r="M34" s="27">
        <f t="shared" si="6"/>
        <v>2.9145548367436491E-2</v>
      </c>
      <c r="N34" s="28">
        <v>1279808654</v>
      </c>
      <c r="O34" s="28">
        <v>991626942</v>
      </c>
      <c r="P34" s="23">
        <f t="shared" si="7"/>
        <v>9.8143109673075338E-2</v>
      </c>
      <c r="Q34" s="25">
        <f t="shared" si="21"/>
        <v>6.8700176771152744E-3</v>
      </c>
      <c r="R34" s="31">
        <f t="shared" si="9"/>
        <v>-0.22517562379289865</v>
      </c>
      <c r="S34" s="29">
        <f t="shared" si="10"/>
        <v>0</v>
      </c>
      <c r="T34" s="26">
        <f t="shared" si="25"/>
        <v>0</v>
      </c>
      <c r="U34" s="1">
        <v>2</v>
      </c>
      <c r="V34" s="4">
        <v>0.05</v>
      </c>
      <c r="W34" s="30">
        <v>51</v>
      </c>
      <c r="X34" s="23">
        <f t="shared" si="12"/>
        <v>1.3962385333910445</v>
      </c>
      <c r="Y34" s="29">
        <f t="shared" si="13"/>
        <v>0.27184272000105525</v>
      </c>
      <c r="Z34" s="26">
        <f t="shared" si="20"/>
        <v>1.3592136000052763E-2</v>
      </c>
      <c r="AB34" s="26">
        <f t="shared" si="15"/>
        <v>9.9607702044604535E-2</v>
      </c>
    </row>
    <row r="35" spans="1:35" ht="15.75" customHeight="1" x14ac:dyDescent="0.2">
      <c r="A35" s="1" t="s">
        <v>85</v>
      </c>
      <c r="B35" s="1">
        <v>1395020</v>
      </c>
      <c r="C35" s="1">
        <v>1412895</v>
      </c>
      <c r="D35" s="1">
        <v>22</v>
      </c>
      <c r="E35" s="1">
        <v>22</v>
      </c>
      <c r="F35" s="23">
        <f t="shared" si="16"/>
        <v>1.5770383220312254</v>
      </c>
      <c r="G35" s="23">
        <f t="shared" si="17"/>
        <v>1.5570866908015106</v>
      </c>
      <c r="H35" s="24">
        <f t="shared" si="1"/>
        <v>0.25108284090218286</v>
      </c>
      <c r="I35" s="25">
        <f t="shared" si="18"/>
        <v>1.7575798863152803E-2</v>
      </c>
      <c r="J35" s="23">
        <f t="shared" si="22"/>
        <v>-1.2651329362762137E-2</v>
      </c>
      <c r="K35" s="24">
        <f t="shared" si="23"/>
        <v>0.52125302656594452</v>
      </c>
      <c r="L35" s="26">
        <f t="shared" si="24"/>
        <v>1.5637590796978334E-2</v>
      </c>
      <c r="M35" s="27">
        <f t="shared" si="6"/>
        <v>3.321338966013114E-2</v>
      </c>
      <c r="N35" s="28">
        <v>443193425</v>
      </c>
      <c r="O35" s="28">
        <v>480464681</v>
      </c>
      <c r="P35" s="23">
        <f t="shared" si="7"/>
        <v>3.1116757469295798E-2</v>
      </c>
      <c r="Q35" s="25">
        <f t="shared" si="21"/>
        <v>2.178173022850706E-3</v>
      </c>
      <c r="R35" s="23">
        <f t="shared" si="9"/>
        <v>8.4097041827730187E-2</v>
      </c>
      <c r="S35" s="29">
        <f t="shared" si="10"/>
        <v>0.50903028481557133</v>
      </c>
      <c r="T35" s="26">
        <f t="shared" si="25"/>
        <v>1.5270908544467139E-2</v>
      </c>
      <c r="U35" s="1">
        <v>1</v>
      </c>
      <c r="V35" s="4">
        <v>0.05</v>
      </c>
      <c r="W35" s="30">
        <v>9</v>
      </c>
      <c r="X35" s="23">
        <f t="shared" si="12"/>
        <v>0.6451520408309559</v>
      </c>
      <c r="Y35" s="29">
        <f t="shared" si="13"/>
        <v>7.7265187711388655E-2</v>
      </c>
      <c r="Z35" s="26">
        <f t="shared" si="20"/>
        <v>3.8632593855694331E-3</v>
      </c>
      <c r="AB35" s="26">
        <f t="shared" si="15"/>
        <v>0.10452573061301841</v>
      </c>
    </row>
    <row r="36" spans="1:35" ht="15.75" customHeight="1" x14ac:dyDescent="0.2">
      <c r="A36" s="1" t="s">
        <v>86</v>
      </c>
      <c r="B36" s="1">
        <v>8133233</v>
      </c>
      <c r="C36" s="1">
        <v>8131584</v>
      </c>
      <c r="D36" s="1">
        <v>67</v>
      </c>
      <c r="E36" s="1">
        <v>70</v>
      </c>
      <c r="F36" s="23">
        <f t="shared" si="16"/>
        <v>0.82378065401544509</v>
      </c>
      <c r="G36" s="23">
        <f t="shared" si="17"/>
        <v>0.8608408890567939</v>
      </c>
      <c r="H36" s="24">
        <f t="shared" si="1"/>
        <v>0.13512462179161294</v>
      </c>
      <c r="I36" s="25">
        <f t="shared" si="18"/>
        <v>9.4587235254129064E-3</v>
      </c>
      <c r="J36" s="23">
        <f t="shared" si="22"/>
        <v>4.4987989048664849E-2</v>
      </c>
      <c r="K36" s="24">
        <f t="shared" si="23"/>
        <v>0.55293938732896541</v>
      </c>
      <c r="L36" s="26">
        <f t="shared" si="24"/>
        <v>1.6588181619868962E-2</v>
      </c>
      <c r="M36" s="27">
        <f t="shared" si="6"/>
        <v>2.6046905145281869E-2</v>
      </c>
      <c r="N36" s="28">
        <v>1824787088</v>
      </c>
      <c r="O36" s="28">
        <v>1952953912</v>
      </c>
      <c r="P36" s="23">
        <f t="shared" si="7"/>
        <v>0.2241974861212854</v>
      </c>
      <c r="Q36" s="25">
        <f t="shared" si="21"/>
        <v>1.569382402848998E-2</v>
      </c>
      <c r="R36" s="23">
        <f t="shared" si="9"/>
        <v>7.0236590801655216E-2</v>
      </c>
      <c r="S36" s="29">
        <f t="shared" si="10"/>
        <v>0.48621743997745115</v>
      </c>
      <c r="T36" s="26">
        <f t="shared" si="25"/>
        <v>1.4586523199323534E-2</v>
      </c>
      <c r="U36" s="1">
        <v>1</v>
      </c>
      <c r="V36" s="4">
        <v>0.05</v>
      </c>
      <c r="W36" s="30">
        <v>68</v>
      </c>
      <c r="X36" s="23">
        <f t="shared" si="12"/>
        <v>0.83607588765746665</v>
      </c>
      <c r="Y36" s="29">
        <f t="shared" si="13"/>
        <v>0.1267261903239216</v>
      </c>
      <c r="Z36" s="26">
        <f t="shared" si="20"/>
        <v>6.3363095161960807E-3</v>
      </c>
      <c r="AB36" s="26">
        <f t="shared" si="15"/>
        <v>0.11266356188929147</v>
      </c>
    </row>
    <row r="37" spans="1:35" ht="15.75" customHeight="1" x14ac:dyDescent="0.2">
      <c r="A37" s="1" t="s">
        <v>87</v>
      </c>
      <c r="B37" s="1">
        <v>2420401</v>
      </c>
      <c r="C37" s="1">
        <v>2452378</v>
      </c>
      <c r="D37" s="1">
        <v>20</v>
      </c>
      <c r="E37" s="1">
        <v>23</v>
      </c>
      <c r="F37" s="23">
        <f t="shared" si="16"/>
        <v>0.82630935948216833</v>
      </c>
      <c r="G37" s="23">
        <f t="shared" si="17"/>
        <v>0.93786520675034601</v>
      </c>
      <c r="H37" s="24">
        <f t="shared" si="1"/>
        <v>0.14795285384065288</v>
      </c>
      <c r="I37" s="25">
        <f t="shared" si="18"/>
        <v>1.0356699768845703E-2</v>
      </c>
      <c r="J37" s="23">
        <f t="shared" si="22"/>
        <v>0.13500494214187228</v>
      </c>
      <c r="K37" s="24">
        <f t="shared" si="23"/>
        <v>0.60242487274257905</v>
      </c>
      <c r="L37" s="26">
        <f t="shared" si="24"/>
        <v>1.8072746182277371E-2</v>
      </c>
      <c r="M37" s="27">
        <f t="shared" si="6"/>
        <v>2.8429445951123074E-2</v>
      </c>
      <c r="N37" s="28">
        <v>638234032</v>
      </c>
      <c r="O37" s="28">
        <v>769882872</v>
      </c>
      <c r="P37" s="23">
        <f t="shared" si="7"/>
        <v>6.9066831416845567E-2</v>
      </c>
      <c r="Q37" s="25">
        <f t="shared" si="21"/>
        <v>4.8346781991791899E-3</v>
      </c>
      <c r="R37" s="23">
        <f t="shared" si="9"/>
        <v>0.20627047979165108</v>
      </c>
      <c r="S37" s="29">
        <f t="shared" si="10"/>
        <v>0.71011491607088528</v>
      </c>
      <c r="T37" s="26">
        <f t="shared" si="25"/>
        <v>2.1303447482126557E-2</v>
      </c>
      <c r="U37" s="1">
        <v>0</v>
      </c>
      <c r="V37" s="4">
        <v>0</v>
      </c>
      <c r="W37" s="30">
        <v>35</v>
      </c>
      <c r="X37" s="23">
        <f t="shared" si="12"/>
        <v>1.4460413790937949</v>
      </c>
      <c r="Y37" s="29">
        <f t="shared" si="13"/>
        <v>0.2847447158614973</v>
      </c>
      <c r="Z37" s="26">
        <f t="shared" si="20"/>
        <v>1.4237235793074865E-2</v>
      </c>
      <c r="AB37" s="26">
        <f t="shared" si="15"/>
        <v>6.8804807425503683E-2</v>
      </c>
    </row>
    <row r="38" spans="1:35" ht="15.75" customHeight="1" x14ac:dyDescent="0.2">
      <c r="A38" s="1" t="s">
        <v>88</v>
      </c>
      <c r="B38" s="1">
        <v>1667567</v>
      </c>
      <c r="C38" s="1">
        <v>1683013</v>
      </c>
      <c r="D38" s="1">
        <v>41</v>
      </c>
      <c r="E38" s="1">
        <v>42</v>
      </c>
      <c r="F38" s="23">
        <f t="shared" si="16"/>
        <v>2.4586718254798758</v>
      </c>
      <c r="G38" s="23">
        <f t="shared" si="17"/>
        <v>2.4955243958305728</v>
      </c>
      <c r="H38" s="24">
        <f t="shared" si="1"/>
        <v>0.40737759305535964</v>
      </c>
      <c r="I38" s="25">
        <f t="shared" si="18"/>
        <v>2.8516431513875177E-2</v>
      </c>
      <c r="J38" s="23">
        <f t="shared" si="22"/>
        <v>1.4988812239512376E-2</v>
      </c>
      <c r="K38" s="24">
        <f t="shared" si="23"/>
        <v>0.53644778463194254</v>
      </c>
      <c r="L38" s="26">
        <f t="shared" si="24"/>
        <v>1.6093433538958275E-2</v>
      </c>
      <c r="M38" s="27">
        <f t="shared" si="6"/>
        <v>4.4609865052833451E-2</v>
      </c>
      <c r="N38" s="28">
        <v>578589829</v>
      </c>
      <c r="O38" s="28">
        <v>637124633</v>
      </c>
      <c r="P38" s="23">
        <f t="shared" si="7"/>
        <v>5.1658855194658189E-2</v>
      </c>
      <c r="Q38" s="25">
        <f t="shared" si="21"/>
        <v>3.6161198636260735E-3</v>
      </c>
      <c r="R38" s="23">
        <f t="shared" si="9"/>
        <v>0.10116804870415377</v>
      </c>
      <c r="S38" s="29">
        <f t="shared" si="10"/>
        <v>0.53712736696460839</v>
      </c>
      <c r="T38" s="26">
        <f t="shared" si="25"/>
        <v>1.611382100893825E-2</v>
      </c>
      <c r="U38" s="1">
        <v>0</v>
      </c>
      <c r="V38" s="4">
        <v>0</v>
      </c>
      <c r="W38" s="30">
        <v>35</v>
      </c>
      <c r="X38" s="23">
        <f t="shared" si="12"/>
        <v>2.0988661924828209</v>
      </c>
      <c r="Y38" s="29">
        <f t="shared" si="13"/>
        <v>0.45386643814641309</v>
      </c>
      <c r="Z38" s="26">
        <f t="shared" si="20"/>
        <v>2.2693321907320655E-2</v>
      </c>
      <c r="AB38" s="26">
        <f t="shared" si="15"/>
        <v>8.7033127832718424E-2</v>
      </c>
    </row>
    <row r="39" spans="1:35" ht="15.75" customHeight="1" x14ac:dyDescent="0.2">
      <c r="A39" s="35" t="s">
        <v>124</v>
      </c>
      <c r="B39" s="36">
        <f t="shared" ref="B39:E39" si="26">SUM(B4:B38)</f>
        <v>129960600</v>
      </c>
      <c r="C39" s="36">
        <f t="shared" si="26"/>
        <v>131135337</v>
      </c>
      <c r="D39" s="36">
        <f t="shared" si="26"/>
        <v>1737</v>
      </c>
      <c r="E39" s="36">
        <f t="shared" si="26"/>
        <v>1600</v>
      </c>
      <c r="F39" s="37">
        <f t="shared" si="16"/>
        <v>1.3365589263207465</v>
      </c>
      <c r="G39" s="37">
        <f t="shared" si="17"/>
        <v>1.2201135381228327</v>
      </c>
      <c r="H39" s="38">
        <f t="shared" si="1"/>
        <v>0.19496069758041862</v>
      </c>
      <c r="I39" s="39"/>
      <c r="J39" s="40">
        <f t="shared" si="22"/>
        <v>-8.712327298465046E-2</v>
      </c>
      <c r="K39" s="41"/>
      <c r="L39" s="41"/>
      <c r="M39" s="41"/>
      <c r="N39" s="42">
        <f t="shared" ref="N39:O39" si="27">SUM(N4:N38)</f>
        <v>45839663067.589996</v>
      </c>
      <c r="O39" s="42">
        <f t="shared" si="27"/>
        <v>49327832316.93</v>
      </c>
      <c r="P39" s="37"/>
      <c r="Q39" s="37"/>
      <c r="R39" s="37"/>
      <c r="S39" s="39"/>
      <c r="T39" s="39"/>
      <c r="U39" s="43">
        <f>SUM(U7:U38)</f>
        <v>23</v>
      </c>
      <c r="V39" s="36"/>
      <c r="W39" s="43">
        <f>SUM(W7:W38)</f>
        <v>1951</v>
      </c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</row>
    <row r="40" spans="1:35" ht="15.75" customHeight="1" x14ac:dyDescent="0.2"/>
    <row r="41" spans="1:35" ht="15.75" customHeight="1" x14ac:dyDescent="0.2">
      <c r="E41" s="44"/>
    </row>
    <row r="42" spans="1:35" ht="15.75" customHeight="1" x14ac:dyDescent="0.2"/>
    <row r="43" spans="1:35" ht="15.75" customHeight="1" x14ac:dyDescent="0.2"/>
    <row r="44" spans="1:35" ht="15.75" customHeight="1" x14ac:dyDescent="0.2"/>
    <row r="45" spans="1:35" ht="15.75" customHeight="1" x14ac:dyDescent="0.2"/>
    <row r="46" spans="1:35" ht="15.75" customHeight="1" x14ac:dyDescent="0.2"/>
    <row r="47" spans="1:35" ht="15.75" customHeight="1" x14ac:dyDescent="0.2"/>
    <row r="48" spans="1:3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5:AC41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10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ColWidth="12.6640625" defaultRowHeight="15" customHeight="1" x14ac:dyDescent="0.2"/>
  <cols>
    <col min="1" max="1" width="10.6640625" customWidth="1"/>
    <col min="2" max="2" width="14.83203125" customWidth="1"/>
    <col min="3" max="5" width="23.1640625" customWidth="1"/>
    <col min="6" max="10" width="20.1640625" customWidth="1"/>
    <col min="11" max="12" width="20" customWidth="1"/>
    <col min="13" max="13" width="27.5" customWidth="1"/>
    <col min="14" max="16" width="26.5" customWidth="1"/>
    <col min="17" max="20" width="23.6640625" customWidth="1"/>
    <col min="21" max="22" width="24.1640625" customWidth="1"/>
    <col min="23" max="38" width="10.6640625" customWidth="1"/>
  </cols>
  <sheetData>
    <row r="1" spans="1:38" x14ac:dyDescent="0.2">
      <c r="A1" s="1" t="s">
        <v>125</v>
      </c>
      <c r="C1" s="6"/>
      <c r="D1" s="6"/>
      <c r="E1" s="1" t="s">
        <v>126</v>
      </c>
      <c r="M1" s="1" t="s">
        <v>127</v>
      </c>
      <c r="N1" s="1" t="s">
        <v>128</v>
      </c>
      <c r="T1" s="1" t="s">
        <v>129</v>
      </c>
      <c r="V1" s="1" t="s">
        <v>130</v>
      </c>
      <c r="X1" s="1" t="s">
        <v>131</v>
      </c>
      <c r="Z1" s="1" t="s">
        <v>132</v>
      </c>
      <c r="AB1" s="1" t="s">
        <v>133</v>
      </c>
      <c r="AD1" s="1" t="s">
        <v>134</v>
      </c>
      <c r="AF1" s="1" t="s">
        <v>135</v>
      </c>
    </row>
    <row r="2" spans="1:38" x14ac:dyDescent="0.2">
      <c r="B2" s="6"/>
      <c r="G2" s="6" t="s">
        <v>97</v>
      </c>
      <c r="H2" s="14">
        <f>MAX(G6:G37)</f>
        <v>36.446891153924192</v>
      </c>
      <c r="I2" s="15"/>
      <c r="J2" s="6" t="s">
        <v>97</v>
      </c>
      <c r="K2" s="45">
        <f>MAX(J6:J37)</f>
        <v>0.84686453859956612</v>
      </c>
      <c r="L2" s="15"/>
      <c r="N2" s="6" t="s">
        <v>97</v>
      </c>
      <c r="O2" s="16">
        <f>MAX(N6:N37)</f>
        <v>8366960210</v>
      </c>
      <c r="Q2" s="6" t="s">
        <v>97</v>
      </c>
      <c r="R2" s="14">
        <f>MAX(Q6:Q37)</f>
        <v>0.24880847227915068</v>
      </c>
      <c r="S2" s="15"/>
      <c r="AG2" s="6" t="s">
        <v>97</v>
      </c>
      <c r="AH2" s="14">
        <f>MAX(AG6:AG37)</f>
        <v>13.426441049283016</v>
      </c>
      <c r="AI2" s="46" t="s">
        <v>136</v>
      </c>
    </row>
    <row r="3" spans="1:38" x14ac:dyDescent="0.2">
      <c r="B3" s="6"/>
      <c r="G3" s="6" t="s">
        <v>98</v>
      </c>
      <c r="H3" s="14">
        <f>MIN(G6:G37)</f>
        <v>5.1773430613272895</v>
      </c>
      <c r="I3" s="17">
        <v>7.0000000000000007E-2</v>
      </c>
      <c r="J3" s="6" t="s">
        <v>98</v>
      </c>
      <c r="K3" s="45">
        <f>MIN(J6:J37)</f>
        <v>-0.60377509789588302</v>
      </c>
      <c r="L3" s="17">
        <v>0.03</v>
      </c>
      <c r="M3" s="1" t="s">
        <v>99</v>
      </c>
      <c r="N3" s="6" t="s">
        <v>98</v>
      </c>
      <c r="O3" s="16">
        <f>MIN(N6:N37)</f>
        <v>283901925</v>
      </c>
      <c r="P3" s="17">
        <v>7.0000000000000007E-2</v>
      </c>
      <c r="Q3" s="6" t="s">
        <v>98</v>
      </c>
      <c r="R3" s="14">
        <f>MIN(Q6:Q37)</f>
        <v>-5.226980492371127E-2</v>
      </c>
      <c r="S3" s="17">
        <v>0.03</v>
      </c>
      <c r="T3" s="4"/>
      <c r="U3" s="47">
        <v>0.05</v>
      </c>
      <c r="V3" s="48"/>
      <c r="W3" s="18">
        <v>0.01</v>
      </c>
      <c r="X3" s="4"/>
      <c r="Y3" s="18">
        <v>0.01</v>
      </c>
      <c r="Z3" s="4"/>
      <c r="AA3" s="18">
        <v>0.01</v>
      </c>
      <c r="AB3" s="4"/>
      <c r="AC3" s="18">
        <v>0.01</v>
      </c>
      <c r="AD3" s="4"/>
      <c r="AE3" s="18">
        <v>0.01</v>
      </c>
      <c r="AF3" s="4"/>
      <c r="AG3" s="6" t="s">
        <v>98</v>
      </c>
      <c r="AH3" s="14">
        <f>MIN(AG6:AG37)</f>
        <v>0.35339535186161602</v>
      </c>
      <c r="AI3" s="18">
        <v>0.05</v>
      </c>
      <c r="AK3" s="49">
        <f>I3+L3+P3+S3+U3+W3+Y3+AA3+AC3+AE3+AI3</f>
        <v>0.35000000000000003</v>
      </c>
      <c r="AL3" s="4"/>
    </row>
    <row r="4" spans="1:38" x14ac:dyDescent="0.2">
      <c r="A4" s="3" t="s">
        <v>15</v>
      </c>
      <c r="B4" s="6" t="s">
        <v>100</v>
      </c>
      <c r="C4" s="6" t="s">
        <v>101</v>
      </c>
      <c r="D4" s="1" t="s">
        <v>137</v>
      </c>
      <c r="E4" s="1" t="s">
        <v>138</v>
      </c>
      <c r="F4" s="1" t="s">
        <v>139</v>
      </c>
      <c r="G4" s="1" t="s">
        <v>140</v>
      </c>
      <c r="H4" s="5" t="s">
        <v>141</v>
      </c>
      <c r="I4" s="2" t="s">
        <v>107</v>
      </c>
      <c r="J4" s="6" t="s">
        <v>142</v>
      </c>
      <c r="K4" s="5" t="s">
        <v>143</v>
      </c>
      <c r="L4" s="3" t="s">
        <v>142</v>
      </c>
      <c r="M4" s="1" t="s">
        <v>111</v>
      </c>
      <c r="N4" s="1" t="s">
        <v>112</v>
      </c>
      <c r="O4" s="6" t="s">
        <v>144</v>
      </c>
      <c r="P4" s="2" t="s">
        <v>145</v>
      </c>
      <c r="Q4" s="1" t="s">
        <v>146</v>
      </c>
      <c r="R4" s="6" t="s">
        <v>147</v>
      </c>
      <c r="S4" s="3" t="s">
        <v>148</v>
      </c>
      <c r="T4" s="1" t="s">
        <v>149</v>
      </c>
      <c r="U4" s="3" t="s">
        <v>150</v>
      </c>
      <c r="V4" s="1" t="s">
        <v>151</v>
      </c>
      <c r="W4" s="3" t="s">
        <v>152</v>
      </c>
      <c r="X4" s="1" t="s">
        <v>153</v>
      </c>
      <c r="Y4" s="3" t="s">
        <v>153</v>
      </c>
      <c r="Z4" s="1" t="s">
        <v>154</v>
      </c>
      <c r="AA4" s="3" t="s">
        <v>155</v>
      </c>
      <c r="AB4" s="1" t="s">
        <v>156</v>
      </c>
      <c r="AC4" s="3" t="s">
        <v>157</v>
      </c>
      <c r="AD4" s="1" t="s">
        <v>158</v>
      </c>
      <c r="AE4" s="3" t="s">
        <v>158</v>
      </c>
      <c r="AF4" s="1" t="s">
        <v>159</v>
      </c>
      <c r="AG4" s="1" t="s">
        <v>160</v>
      </c>
      <c r="AH4" s="6" t="s">
        <v>161</v>
      </c>
      <c r="AI4" s="3" t="s">
        <v>160</v>
      </c>
      <c r="AK4" s="3" t="s">
        <v>162</v>
      </c>
      <c r="AL4" s="50"/>
    </row>
    <row r="5" spans="1:38" x14ac:dyDescent="0.2">
      <c r="A5" s="1" t="s">
        <v>24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20"/>
      <c r="N5" s="20"/>
      <c r="O5" s="20"/>
      <c r="P5" s="20"/>
      <c r="Q5" s="8"/>
      <c r="R5" s="8"/>
      <c r="S5" s="8"/>
      <c r="T5" s="8"/>
      <c r="U5" s="9"/>
      <c r="V5" s="8"/>
      <c r="W5" s="9"/>
      <c r="X5" s="8"/>
      <c r="Y5" s="9"/>
      <c r="Z5" s="8"/>
      <c r="AA5" s="9"/>
      <c r="AB5" s="8"/>
      <c r="AC5" s="9"/>
      <c r="AD5" s="8"/>
      <c r="AE5" s="9"/>
      <c r="AF5" s="22"/>
      <c r="AG5" s="9"/>
      <c r="AH5" s="9"/>
      <c r="AI5" s="9"/>
    </row>
    <row r="6" spans="1:38" x14ac:dyDescent="0.2">
      <c r="A6" s="1" t="s">
        <v>27</v>
      </c>
      <c r="B6" s="1">
        <v>1491126</v>
      </c>
      <c r="C6" s="1">
        <v>1510839</v>
      </c>
      <c r="D6" s="1">
        <v>165</v>
      </c>
      <c r="E6" s="1">
        <v>166</v>
      </c>
      <c r="F6" s="23">
        <f t="shared" ref="F6:F38" si="0">D6/B6*100000</f>
        <v>11.065463280769031</v>
      </c>
      <c r="G6" s="23">
        <f t="shared" ref="G6:G28" si="1">E6/C6*100000</f>
        <v>10.987272634608983</v>
      </c>
      <c r="H6" s="24">
        <f t="shared" ref="H6:H28" si="2">(G6-$H$3)/($H$2-$H$3)</f>
        <v>0.18580152025469152</v>
      </c>
      <c r="I6" s="25">
        <f t="shared" ref="I6:I13" si="3">(H6*$I$14)/$H$14</f>
        <v>1.3006106417828407E-2</v>
      </c>
      <c r="J6" s="51">
        <f t="shared" ref="J6:J28" si="4">((G6-F6)/F6)</f>
        <v>-7.0661882088513279E-3</v>
      </c>
      <c r="K6" s="29">
        <f t="shared" ref="K6:K28" si="5">(J6-$K$3)/($K$2-$K$3)</f>
        <v>0.41134193129356406</v>
      </c>
      <c r="L6" s="26">
        <f t="shared" ref="L6:L13" si="6">(K6*$L$14)/$K$14</f>
        <v>1.2340257938806921E-2</v>
      </c>
      <c r="M6" s="28">
        <v>561364267.25999999</v>
      </c>
      <c r="N6" s="28">
        <v>626122684</v>
      </c>
      <c r="O6" s="29">
        <f t="shared" ref="O6:O37" si="7">(N6-$O$3)/($O$2-$O$3)</f>
        <v>4.2338029361370613E-2</v>
      </c>
      <c r="P6" s="26">
        <f t="shared" ref="P6:P13" si="8">(O6*$P$14)/$O$14</f>
        <v>2.9636620552959433E-3</v>
      </c>
      <c r="Q6" s="23">
        <f t="shared" ref="Q6:Q38" si="9">(N6-M6)/M6</f>
        <v>0.11535899328983594</v>
      </c>
      <c r="R6" s="23">
        <f t="shared" ref="R6:R38" si="10">(Q6-$R$3)/($R$2-$R$3)</f>
        <v>0.55676151654276096</v>
      </c>
      <c r="S6" s="26">
        <f t="shared" ref="S6:S19" si="11">(R6*$S$20)/$R$20</f>
        <v>1.6702845496282828E-2</v>
      </c>
      <c r="T6" s="30">
        <v>1</v>
      </c>
      <c r="U6" s="4">
        <v>0.05</v>
      </c>
      <c r="V6" s="1">
        <v>0</v>
      </c>
      <c r="W6" s="4">
        <v>0</v>
      </c>
      <c r="X6" s="1">
        <v>0</v>
      </c>
      <c r="Y6" s="4">
        <v>0</v>
      </c>
      <c r="Z6" s="1">
        <v>0</v>
      </c>
      <c r="AA6" s="4">
        <v>0</v>
      </c>
      <c r="AB6" s="1">
        <v>1</v>
      </c>
      <c r="AC6" s="4">
        <v>0.01</v>
      </c>
      <c r="AD6" s="1">
        <v>0</v>
      </c>
      <c r="AE6" s="4">
        <v>0</v>
      </c>
      <c r="AF6" s="30">
        <v>49</v>
      </c>
      <c r="AG6" s="23">
        <f t="shared" ref="AG6:AG37" si="12">(AF6*100000)/B6</f>
        <v>3.2861072773192874</v>
      </c>
      <c r="AH6" s="23">
        <f t="shared" ref="AH6:AH37" si="13">(AG6-$AH$3)/($AH$2-$AH$3)</f>
        <v>0.22433272194834719</v>
      </c>
      <c r="AI6" s="4">
        <f t="shared" ref="AI6:AI7" si="14">(AG6*AI$8)/AG$8</f>
        <v>1.2347969763160153E-2</v>
      </c>
      <c r="AK6" s="26">
        <f t="shared" ref="AK6:AK37" si="15">I6+L6+P6+S6+U6+W6+Y6+AA6+AC6+AE6+AI6</f>
        <v>0.11736084167137426</v>
      </c>
      <c r="AL6" s="26"/>
    </row>
    <row r="7" spans="1:38" x14ac:dyDescent="0.2">
      <c r="A7" s="1" t="s">
        <v>31</v>
      </c>
      <c r="B7" s="1">
        <v>3948201</v>
      </c>
      <c r="C7" s="1">
        <v>4010510</v>
      </c>
      <c r="D7" s="1">
        <v>541</v>
      </c>
      <c r="E7" s="1">
        <v>527</v>
      </c>
      <c r="F7" s="23">
        <f t="shared" si="0"/>
        <v>13.702443214010636</v>
      </c>
      <c r="G7" s="23">
        <f t="shared" si="1"/>
        <v>13.140473406125405</v>
      </c>
      <c r="H7" s="24">
        <f t="shared" si="2"/>
        <v>0.25466087073651683</v>
      </c>
      <c r="I7" s="25">
        <f t="shared" si="3"/>
        <v>1.7826260951556181E-2</v>
      </c>
      <c r="J7" s="52">
        <f t="shared" si="4"/>
        <v>-4.1012379990060507E-2</v>
      </c>
      <c r="K7" s="29">
        <f t="shared" si="5"/>
        <v>0.38794108732984978</v>
      </c>
      <c r="L7" s="26">
        <f t="shared" si="6"/>
        <v>1.1638232619895493E-2</v>
      </c>
      <c r="M7" s="28">
        <v>2186069455.9400001</v>
      </c>
      <c r="N7" s="28">
        <v>2525012400</v>
      </c>
      <c r="O7" s="29">
        <f t="shared" si="7"/>
        <v>0.27726021463421874</v>
      </c>
      <c r="P7" s="26">
        <f t="shared" si="8"/>
        <v>1.9408215024395315E-2</v>
      </c>
      <c r="Q7" s="23">
        <f t="shared" si="9"/>
        <v>0.15504674068750299</v>
      </c>
      <c r="R7" s="23">
        <f t="shared" si="10"/>
        <v>0.68858021753435084</v>
      </c>
      <c r="S7" s="26">
        <f t="shared" si="11"/>
        <v>2.0657406526030524E-2</v>
      </c>
      <c r="T7" s="30">
        <v>1</v>
      </c>
      <c r="U7" s="4">
        <v>0.05</v>
      </c>
      <c r="V7" s="1">
        <v>0</v>
      </c>
      <c r="W7" s="4">
        <v>0</v>
      </c>
      <c r="X7" s="1">
        <v>0</v>
      </c>
      <c r="Y7" s="4">
        <v>0</v>
      </c>
      <c r="Z7" s="1">
        <v>0</v>
      </c>
      <c r="AA7" s="4">
        <v>0</v>
      </c>
      <c r="AB7" s="1">
        <v>0</v>
      </c>
      <c r="AC7" s="4">
        <v>0</v>
      </c>
      <c r="AD7" s="1">
        <v>0</v>
      </c>
      <c r="AE7" s="4">
        <v>0</v>
      </c>
      <c r="AF7" s="30">
        <v>134</v>
      </c>
      <c r="AG7" s="23">
        <f t="shared" si="12"/>
        <v>3.3939508145608595</v>
      </c>
      <c r="AH7" s="23">
        <f t="shared" si="13"/>
        <v>0.23258202664272637</v>
      </c>
      <c r="AI7" s="4">
        <f t="shared" si="14"/>
        <v>1.2753205692675362E-2</v>
      </c>
      <c r="AK7" s="26">
        <f t="shared" si="15"/>
        <v>0.13228332081455288</v>
      </c>
      <c r="AL7" s="26"/>
    </row>
    <row r="8" spans="1:38" x14ac:dyDescent="0.2">
      <c r="A8" s="1" t="s">
        <v>34</v>
      </c>
      <c r="B8" s="1">
        <v>849224</v>
      </c>
      <c r="C8" s="1">
        <v>867766</v>
      </c>
      <c r="D8" s="1">
        <v>142</v>
      </c>
      <c r="E8" s="1">
        <v>158</v>
      </c>
      <c r="F8" s="23">
        <f t="shared" si="0"/>
        <v>16.721147777264889</v>
      </c>
      <c r="G8" s="23">
        <f t="shared" si="1"/>
        <v>18.207673497233124</v>
      </c>
      <c r="H8" s="24">
        <f t="shared" si="2"/>
        <v>0.41670990566668215</v>
      </c>
      <c r="I8" s="25">
        <f t="shared" si="3"/>
        <v>2.9169693396667754E-2</v>
      </c>
      <c r="J8" s="51">
        <f t="shared" si="4"/>
        <v>8.8900937888331283E-2</v>
      </c>
      <c r="K8" s="29">
        <f t="shared" si="5"/>
        <v>0.47749697330594582</v>
      </c>
      <c r="L8" s="26">
        <f t="shared" si="6"/>
        <v>1.4324909199178374E-2</v>
      </c>
      <c r="M8" s="28">
        <v>349915100</v>
      </c>
      <c r="N8" s="28">
        <v>417224055</v>
      </c>
      <c r="O8" s="29">
        <f t="shared" si="7"/>
        <v>1.6494020616851211E-2</v>
      </c>
      <c r="P8" s="26">
        <f t="shared" si="8"/>
        <v>1.1545814431795848E-3</v>
      </c>
      <c r="Q8" s="23">
        <f t="shared" si="9"/>
        <v>0.19235796054528656</v>
      </c>
      <c r="R8" s="23">
        <f t="shared" si="10"/>
        <v>0.81250553092600364</v>
      </c>
      <c r="S8" s="26">
        <f t="shared" si="11"/>
        <v>2.4375165927780107E-2</v>
      </c>
      <c r="T8" s="30">
        <v>0</v>
      </c>
      <c r="U8" s="4">
        <v>0</v>
      </c>
      <c r="V8" s="1">
        <v>0</v>
      </c>
      <c r="W8" s="4">
        <v>0</v>
      </c>
      <c r="X8" s="1">
        <v>1</v>
      </c>
      <c r="Y8" s="4">
        <v>0.01</v>
      </c>
      <c r="Z8" s="1">
        <v>0</v>
      </c>
      <c r="AA8" s="4">
        <v>0</v>
      </c>
      <c r="AB8" s="1">
        <v>2</v>
      </c>
      <c r="AC8" s="4">
        <v>0.01</v>
      </c>
      <c r="AD8" s="1">
        <v>0</v>
      </c>
      <c r="AE8" s="4">
        <v>0</v>
      </c>
      <c r="AF8" s="30">
        <v>113</v>
      </c>
      <c r="AG8" s="23">
        <f t="shared" si="12"/>
        <v>13.306265484724879</v>
      </c>
      <c r="AH8" s="23">
        <f t="shared" si="13"/>
        <v>0.99080737822389464</v>
      </c>
      <c r="AI8" s="4">
        <v>0.05</v>
      </c>
      <c r="AK8" s="26">
        <f t="shared" si="15"/>
        <v>0.13902434996680579</v>
      </c>
      <c r="AL8" s="26"/>
    </row>
    <row r="9" spans="1:38" x14ac:dyDescent="0.2">
      <c r="A9" s="1" t="s">
        <v>39</v>
      </c>
      <c r="B9" s="1">
        <v>945445</v>
      </c>
      <c r="C9" s="1">
        <v>950291</v>
      </c>
      <c r="D9" s="1">
        <v>78</v>
      </c>
      <c r="E9" s="1">
        <v>127</v>
      </c>
      <c r="F9" s="23">
        <f t="shared" si="0"/>
        <v>8.2500832941101798</v>
      </c>
      <c r="G9" s="23">
        <f t="shared" si="1"/>
        <v>13.364327348149146</v>
      </c>
      <c r="H9" s="24">
        <f t="shared" si="2"/>
        <v>0.26181971874291765</v>
      </c>
      <c r="I9" s="25">
        <f t="shared" si="3"/>
        <v>1.8327380312004236E-2</v>
      </c>
      <c r="J9" s="51">
        <f t="shared" si="4"/>
        <v>0.61990211149626551</v>
      </c>
      <c r="K9" s="29">
        <f t="shared" si="5"/>
        <v>0.84354320577396369</v>
      </c>
      <c r="L9" s="26">
        <f t="shared" si="6"/>
        <v>2.530629617321891E-2</v>
      </c>
      <c r="M9" s="28">
        <v>377763705.27999997</v>
      </c>
      <c r="N9" s="28">
        <v>384950870</v>
      </c>
      <c r="O9" s="29">
        <f t="shared" si="7"/>
        <v>1.2501325789957482E-2</v>
      </c>
      <c r="P9" s="26">
        <f t="shared" si="8"/>
        <v>8.7509280529702378E-4</v>
      </c>
      <c r="Q9" s="23">
        <f t="shared" si="9"/>
        <v>1.9025556504092614E-2</v>
      </c>
      <c r="R9" s="23">
        <f t="shared" si="10"/>
        <v>0.23680008431749511</v>
      </c>
      <c r="S9" s="26">
        <f t="shared" si="11"/>
        <v>7.1040025295248527E-3</v>
      </c>
      <c r="T9" s="30">
        <v>0</v>
      </c>
      <c r="U9" s="4">
        <v>0</v>
      </c>
      <c r="V9" s="1">
        <v>1</v>
      </c>
      <c r="W9" s="4">
        <v>0.01</v>
      </c>
      <c r="X9" s="1">
        <v>1</v>
      </c>
      <c r="Y9" s="4">
        <v>0.01</v>
      </c>
      <c r="Z9" s="1">
        <v>1</v>
      </c>
      <c r="AA9" s="4">
        <v>0.01</v>
      </c>
      <c r="AB9" s="1">
        <v>1</v>
      </c>
      <c r="AC9" s="4">
        <v>0.01</v>
      </c>
      <c r="AD9" s="1">
        <v>0</v>
      </c>
      <c r="AE9" s="4">
        <v>0</v>
      </c>
      <c r="AF9" s="30">
        <v>72</v>
      </c>
      <c r="AG9" s="23">
        <f t="shared" si="12"/>
        <v>7.6154615022555516</v>
      </c>
      <c r="AH9" s="23">
        <f t="shared" si="13"/>
        <v>0.55549917888119571</v>
      </c>
      <c r="AI9" s="4">
        <f t="shared" ref="AI9:AI37" si="16">(AG9*AI$8)/AG$8</f>
        <v>2.8616073799962248E-2</v>
      </c>
      <c r="AK9" s="26">
        <f t="shared" si="15"/>
        <v>0.12022884562000727</v>
      </c>
      <c r="AL9" s="26"/>
    </row>
    <row r="10" spans="1:38" x14ac:dyDescent="0.2">
      <c r="A10" s="1" t="s">
        <v>40</v>
      </c>
      <c r="B10" s="1">
        <v>3273658</v>
      </c>
      <c r="C10" s="1">
        <v>3316738</v>
      </c>
      <c r="D10" s="1">
        <v>442</v>
      </c>
      <c r="E10" s="1">
        <v>396</v>
      </c>
      <c r="F10" s="23">
        <f t="shared" si="0"/>
        <v>13.501715817596097</v>
      </c>
      <c r="G10" s="23">
        <f t="shared" si="1"/>
        <v>11.939441704469873</v>
      </c>
      <c r="H10" s="24">
        <f t="shared" si="2"/>
        <v>0.21625188260215111</v>
      </c>
      <c r="I10" s="25">
        <f t="shared" si="3"/>
        <v>1.5137631782150579E-2</v>
      </c>
      <c r="J10" s="52">
        <f t="shared" si="4"/>
        <v>-0.11570930200517118</v>
      </c>
      <c r="K10" s="29">
        <f t="shared" si="5"/>
        <v>0.33644868347166734</v>
      </c>
      <c r="L10" s="26">
        <f t="shared" si="6"/>
        <v>1.0093460504150021E-2</v>
      </c>
      <c r="M10" s="28">
        <v>889852107.45000005</v>
      </c>
      <c r="N10" s="28">
        <v>921453667</v>
      </c>
      <c r="O10" s="29">
        <f t="shared" si="7"/>
        <v>7.887506430370865E-2</v>
      </c>
      <c r="P10" s="26">
        <f t="shared" si="8"/>
        <v>5.5212545012596056E-3</v>
      </c>
      <c r="Q10" s="23">
        <f t="shared" si="9"/>
        <v>3.5513271571113982E-2</v>
      </c>
      <c r="R10" s="23">
        <f t="shared" si="10"/>
        <v>0.29156230502700248</v>
      </c>
      <c r="S10" s="26">
        <f t="shared" si="11"/>
        <v>8.7468691508100736E-3</v>
      </c>
      <c r="T10" s="30">
        <v>1</v>
      </c>
      <c r="U10" s="4">
        <v>0.05</v>
      </c>
      <c r="V10" s="1">
        <v>0</v>
      </c>
      <c r="W10" s="4">
        <v>0</v>
      </c>
      <c r="X10" s="1">
        <v>2</v>
      </c>
      <c r="Y10" s="4">
        <v>0.01</v>
      </c>
      <c r="Z10" s="1">
        <v>0</v>
      </c>
      <c r="AA10" s="4">
        <v>0</v>
      </c>
      <c r="AB10" s="1">
        <v>0</v>
      </c>
      <c r="AC10" s="4">
        <v>0</v>
      </c>
      <c r="AD10" s="1">
        <v>0</v>
      </c>
      <c r="AE10" s="4">
        <v>0</v>
      </c>
      <c r="AF10" s="30">
        <v>331</v>
      </c>
      <c r="AG10" s="23">
        <f t="shared" si="12"/>
        <v>10.111013429014271</v>
      </c>
      <c r="AH10" s="23">
        <f t="shared" si="13"/>
        <v>0.74639210349255503</v>
      </c>
      <c r="AI10" s="4">
        <f t="shared" si="16"/>
        <v>3.7993430390447849E-2</v>
      </c>
      <c r="AK10" s="26">
        <f t="shared" si="15"/>
        <v>0.13749264632881814</v>
      </c>
      <c r="AL10" s="26"/>
    </row>
    <row r="11" spans="1:38" x14ac:dyDescent="0.2">
      <c r="A11" s="1" t="s">
        <v>44</v>
      </c>
      <c r="B11" s="1">
        <v>752247</v>
      </c>
      <c r="C11" s="1">
        <v>757405</v>
      </c>
      <c r="D11" s="1">
        <v>138</v>
      </c>
      <c r="E11" s="1">
        <v>149</v>
      </c>
      <c r="F11" s="23">
        <f t="shared" si="0"/>
        <v>18.34503826535699</v>
      </c>
      <c r="G11" s="23">
        <f t="shared" si="1"/>
        <v>19.672434166661166</v>
      </c>
      <c r="H11" s="24">
        <f t="shared" si="2"/>
        <v>0.46355294494216259</v>
      </c>
      <c r="I11" s="25">
        <f t="shared" si="3"/>
        <v>3.2448706145951384E-2</v>
      </c>
      <c r="J11" s="51">
        <f t="shared" si="4"/>
        <v>7.2357216273069708E-2</v>
      </c>
      <c r="K11" s="29">
        <f t="shared" si="5"/>
        <v>0.46609254094448832</v>
      </c>
      <c r="L11" s="26">
        <f t="shared" si="6"/>
        <v>1.3982776228334649E-2</v>
      </c>
      <c r="M11" s="28">
        <v>447888016</v>
      </c>
      <c r="N11" s="28">
        <v>462668320</v>
      </c>
      <c r="O11" s="29">
        <f t="shared" si="7"/>
        <v>2.2116182847740036E-2</v>
      </c>
      <c r="P11" s="26">
        <f t="shared" si="8"/>
        <v>1.5481327993418026E-3</v>
      </c>
      <c r="Q11" s="23">
        <f t="shared" si="9"/>
        <v>3.29999988211339E-2</v>
      </c>
      <c r="R11" s="23">
        <f t="shared" si="10"/>
        <v>0.28321473251752288</v>
      </c>
      <c r="S11" s="26">
        <f t="shared" si="11"/>
        <v>8.4964419755256867E-3</v>
      </c>
      <c r="T11" s="30">
        <v>1</v>
      </c>
      <c r="U11" s="4">
        <v>0.05</v>
      </c>
      <c r="V11" s="1">
        <v>0</v>
      </c>
      <c r="W11" s="4">
        <v>0</v>
      </c>
      <c r="X11" s="1">
        <v>3</v>
      </c>
      <c r="Y11" s="4">
        <v>0.01</v>
      </c>
      <c r="Z11" s="1">
        <v>2</v>
      </c>
      <c r="AA11" s="4">
        <v>0.01</v>
      </c>
      <c r="AB11" s="1">
        <v>1</v>
      </c>
      <c r="AC11" s="4">
        <v>0.01</v>
      </c>
      <c r="AD11" s="1">
        <v>0</v>
      </c>
      <c r="AE11" s="4">
        <v>0</v>
      </c>
      <c r="AF11" s="30">
        <v>101</v>
      </c>
      <c r="AG11" s="23">
        <f t="shared" si="12"/>
        <v>13.426441049283016</v>
      </c>
      <c r="AH11" s="23">
        <f t="shared" si="13"/>
        <v>1</v>
      </c>
      <c r="AI11" s="4">
        <f t="shared" si="16"/>
        <v>5.0451575104585485E-2</v>
      </c>
      <c r="AK11" s="26">
        <f t="shared" si="15"/>
        <v>0.18692763225373901</v>
      </c>
      <c r="AL11" s="26"/>
    </row>
    <row r="12" spans="1:38" x14ac:dyDescent="0.2">
      <c r="A12" s="1" t="s">
        <v>45</v>
      </c>
      <c r="B12" s="1">
        <v>5862882</v>
      </c>
      <c r="C12" s="1">
        <v>5946352</v>
      </c>
      <c r="D12" s="1">
        <v>626</v>
      </c>
      <c r="E12" s="1">
        <v>532</v>
      </c>
      <c r="F12" s="23">
        <f t="shared" si="0"/>
        <v>10.67734264479483</v>
      </c>
      <c r="G12" s="23">
        <f t="shared" si="1"/>
        <v>8.9466617516083815</v>
      </c>
      <c r="H12" s="24">
        <f t="shared" si="2"/>
        <v>0.12054279387470528</v>
      </c>
      <c r="I12" s="25">
        <f t="shared" si="3"/>
        <v>8.4379955712293696E-3</v>
      </c>
      <c r="J12" s="52">
        <f t="shared" si="4"/>
        <v>-0.16208910313748806</v>
      </c>
      <c r="K12" s="29">
        <f t="shared" si="5"/>
        <v>0.30447671747440264</v>
      </c>
      <c r="L12" s="26">
        <f t="shared" si="6"/>
        <v>9.1343015242320788E-3</v>
      </c>
      <c r="M12" s="28">
        <v>1433470989.47</v>
      </c>
      <c r="N12" s="28">
        <v>1625451682</v>
      </c>
      <c r="O12" s="29">
        <f t="shared" si="7"/>
        <v>0.16597056580546479</v>
      </c>
      <c r="P12" s="26">
        <f t="shared" si="8"/>
        <v>1.1617939606382537E-2</v>
      </c>
      <c r="Q12" s="23">
        <f t="shared" si="9"/>
        <v>0.13392715579195735</v>
      </c>
      <c r="R12" s="23">
        <f t="shared" si="10"/>
        <v>0.61843372575900568</v>
      </c>
      <c r="S12" s="26">
        <f t="shared" si="11"/>
        <v>1.8553011772770168E-2</v>
      </c>
      <c r="T12" s="30">
        <v>1</v>
      </c>
      <c r="U12" s="4">
        <v>0.05</v>
      </c>
      <c r="V12" s="1">
        <v>0</v>
      </c>
      <c r="W12" s="4">
        <v>0</v>
      </c>
      <c r="X12" s="1">
        <v>0</v>
      </c>
      <c r="Y12" s="4">
        <v>0</v>
      </c>
      <c r="Z12" s="1">
        <v>0</v>
      </c>
      <c r="AA12" s="4">
        <v>0</v>
      </c>
      <c r="AB12" s="1">
        <v>1</v>
      </c>
      <c r="AC12" s="4">
        <v>0.01</v>
      </c>
      <c r="AD12" s="1">
        <v>0</v>
      </c>
      <c r="AE12" s="4">
        <v>0</v>
      </c>
      <c r="AF12" s="30">
        <v>112</v>
      </c>
      <c r="AG12" s="23">
        <f t="shared" si="12"/>
        <v>1.9103232846917266</v>
      </c>
      <c r="AH12" s="23">
        <f t="shared" si="13"/>
        <v>0.11909450703880028</v>
      </c>
      <c r="AI12" s="4">
        <f t="shared" si="16"/>
        <v>7.1782848722081721E-3</v>
      </c>
      <c r="AK12" s="26">
        <f t="shared" si="15"/>
        <v>0.11492153334682233</v>
      </c>
      <c r="AL12" s="26"/>
    </row>
    <row r="13" spans="1:38" x14ac:dyDescent="0.2">
      <c r="A13" s="1" t="s">
        <v>47</v>
      </c>
      <c r="B13" s="1">
        <v>3898274</v>
      </c>
      <c r="C13" s="1">
        <v>3947936</v>
      </c>
      <c r="D13" s="1">
        <v>1247</v>
      </c>
      <c r="E13" s="1">
        <v>1072</v>
      </c>
      <c r="F13" s="23">
        <f t="shared" si="0"/>
        <v>31.988515943209741</v>
      </c>
      <c r="G13" s="23">
        <f t="shared" si="1"/>
        <v>27.153429032284212</v>
      </c>
      <c r="H13" s="24">
        <f t="shared" si="2"/>
        <v>0.70279512533664612</v>
      </c>
      <c r="I13" s="25">
        <f t="shared" si="3"/>
        <v>4.9195658773565236E-2</v>
      </c>
      <c r="J13" s="52">
        <f t="shared" si="4"/>
        <v>-0.15115071044588055</v>
      </c>
      <c r="K13" s="29">
        <f t="shared" si="5"/>
        <v>0.31201711028900486</v>
      </c>
      <c r="L13" s="26">
        <f t="shared" si="6"/>
        <v>9.3605133086701459E-3</v>
      </c>
      <c r="M13" s="28">
        <v>2723844653</v>
      </c>
      <c r="N13" s="28">
        <v>2973179136</v>
      </c>
      <c r="O13" s="29">
        <f t="shared" si="7"/>
        <v>0.33270540879193972</v>
      </c>
      <c r="P13" s="26">
        <f t="shared" si="8"/>
        <v>2.3289378615435782E-2</v>
      </c>
      <c r="Q13" s="23">
        <f t="shared" si="9"/>
        <v>9.1537703049763469E-2</v>
      </c>
      <c r="R13" s="23">
        <f t="shared" si="10"/>
        <v>0.47764159310829135</v>
      </c>
      <c r="S13" s="26">
        <f t="shared" si="11"/>
        <v>1.4329247793248741E-2</v>
      </c>
      <c r="T13" s="30">
        <v>0</v>
      </c>
      <c r="U13" s="4">
        <v>0</v>
      </c>
      <c r="V13" s="1">
        <v>1</v>
      </c>
      <c r="W13" s="4">
        <v>0.01</v>
      </c>
      <c r="X13" s="1">
        <v>11</v>
      </c>
      <c r="Y13" s="4">
        <v>0.01</v>
      </c>
      <c r="Z13" s="1">
        <v>0</v>
      </c>
      <c r="AA13" s="4">
        <v>0</v>
      </c>
      <c r="AB13" s="1">
        <v>2</v>
      </c>
      <c r="AC13" s="4">
        <v>0.01</v>
      </c>
      <c r="AD13" s="1">
        <v>0</v>
      </c>
      <c r="AE13" s="4">
        <v>0</v>
      </c>
      <c r="AF13" s="30">
        <v>180</v>
      </c>
      <c r="AG13" s="23">
        <f t="shared" si="12"/>
        <v>4.6174281233181658</v>
      </c>
      <c r="AH13" s="23">
        <f t="shared" si="13"/>
        <v>0.32616980542626051</v>
      </c>
      <c r="AI13" s="4">
        <f t="shared" si="16"/>
        <v>1.735057867520684E-2</v>
      </c>
      <c r="AK13" s="26">
        <f t="shared" si="15"/>
        <v>0.14352537716612673</v>
      </c>
      <c r="AL13" s="26"/>
    </row>
    <row r="14" spans="1:38" x14ac:dyDescent="0.2">
      <c r="A14" s="1" t="s">
        <v>51</v>
      </c>
      <c r="B14" s="1">
        <v>9237644</v>
      </c>
      <c r="C14" s="1">
        <v>9221637</v>
      </c>
      <c r="D14" s="1">
        <v>1823</v>
      </c>
      <c r="E14" s="1">
        <v>3361</v>
      </c>
      <c r="F14" s="23">
        <f t="shared" si="0"/>
        <v>19.734469091902653</v>
      </c>
      <c r="G14" s="23">
        <f t="shared" si="1"/>
        <v>36.446891153924192</v>
      </c>
      <c r="H14" s="24">
        <f t="shared" si="2"/>
        <v>1</v>
      </c>
      <c r="I14" s="11">
        <v>7.0000000000000007E-2</v>
      </c>
      <c r="J14" s="51">
        <f t="shared" si="4"/>
        <v>0.84686453859956612</v>
      </c>
      <c r="K14" s="29">
        <f t="shared" si="5"/>
        <v>1</v>
      </c>
      <c r="L14" s="25">
        <v>0.03</v>
      </c>
      <c r="M14" s="28">
        <v>7468499998.1899996</v>
      </c>
      <c r="N14" s="28">
        <v>8366960210</v>
      </c>
      <c r="O14" s="29">
        <f t="shared" si="7"/>
        <v>1</v>
      </c>
      <c r="P14" s="25">
        <v>7.0000000000000007E-2</v>
      </c>
      <c r="Q14" s="23">
        <f t="shared" si="9"/>
        <v>0.12029995474696972</v>
      </c>
      <c r="R14" s="23">
        <f t="shared" si="10"/>
        <v>0.57317240311696793</v>
      </c>
      <c r="S14" s="26">
        <f t="shared" si="11"/>
        <v>1.7195172093509039E-2</v>
      </c>
      <c r="T14" s="30">
        <v>1</v>
      </c>
      <c r="U14" s="4">
        <v>0.05</v>
      </c>
      <c r="V14" s="1">
        <v>1</v>
      </c>
      <c r="W14" s="4">
        <v>0.01</v>
      </c>
      <c r="X14" s="1">
        <v>0</v>
      </c>
      <c r="Y14" s="4">
        <v>0</v>
      </c>
      <c r="Z14" s="1">
        <v>1</v>
      </c>
      <c r="AA14" s="4">
        <v>0.01</v>
      </c>
      <c r="AB14" s="1">
        <v>1</v>
      </c>
      <c r="AC14" s="4">
        <v>0.01</v>
      </c>
      <c r="AD14" s="1">
        <v>0</v>
      </c>
      <c r="AE14" s="4">
        <v>0</v>
      </c>
      <c r="AF14" s="30">
        <v>48</v>
      </c>
      <c r="AG14" s="23">
        <f t="shared" si="12"/>
        <v>0.51961300955092016</v>
      </c>
      <c r="AH14" s="23">
        <f t="shared" si="13"/>
        <v>1.2714531987147405E-2</v>
      </c>
      <c r="AI14" s="4">
        <f t="shared" si="16"/>
        <v>1.9525125593932329E-3</v>
      </c>
      <c r="AK14" s="26">
        <f t="shared" si="15"/>
        <v>0.26914768465290229</v>
      </c>
      <c r="AL14" s="26"/>
    </row>
    <row r="15" spans="1:38" x14ac:dyDescent="0.2">
      <c r="A15" s="1" t="s">
        <v>52</v>
      </c>
      <c r="B15" s="1">
        <v>1884286</v>
      </c>
      <c r="C15" s="1">
        <v>1899457</v>
      </c>
      <c r="D15" s="1">
        <v>218</v>
      </c>
      <c r="E15" s="1">
        <v>218</v>
      </c>
      <c r="F15" s="23">
        <f t="shared" si="0"/>
        <v>11.569368981141928</v>
      </c>
      <c r="G15" s="23">
        <f t="shared" si="1"/>
        <v>11.476964206086265</v>
      </c>
      <c r="H15" s="24">
        <f t="shared" si="2"/>
        <v>0.20146185439278597</v>
      </c>
      <c r="I15" s="25">
        <f t="shared" ref="I15:I28" si="17">(H15*$I$14)/$H$14</f>
        <v>1.4102329807495019E-2</v>
      </c>
      <c r="J15" s="51">
        <f t="shared" si="4"/>
        <v>-7.9870194481896344E-3</v>
      </c>
      <c r="K15" s="29">
        <f t="shared" si="5"/>
        <v>0.41070715528429763</v>
      </c>
      <c r="L15" s="26">
        <f t="shared" ref="L15:L28" si="18">(K15*$L$14)/$K$14</f>
        <v>1.2321214658528928E-2</v>
      </c>
      <c r="M15" s="28">
        <v>599552788.63</v>
      </c>
      <c r="N15" s="28">
        <v>616514291</v>
      </c>
      <c r="O15" s="29">
        <f t="shared" si="7"/>
        <v>4.114932173843653E-2</v>
      </c>
      <c r="P15" s="26">
        <f t="shared" ref="P15:P37" si="19">(O15*$P$14)/$O$14</f>
        <v>2.8804525216905574E-3</v>
      </c>
      <c r="Q15" s="23">
        <f t="shared" si="9"/>
        <v>2.829025682418667E-2</v>
      </c>
      <c r="R15" s="23">
        <f t="shared" si="10"/>
        <v>0.26757181719097523</v>
      </c>
      <c r="S15" s="26">
        <f t="shared" si="11"/>
        <v>8.0271545157292561E-3</v>
      </c>
      <c r="T15" s="30">
        <v>0</v>
      </c>
      <c r="U15" s="4">
        <v>0</v>
      </c>
      <c r="V15" s="1">
        <v>1</v>
      </c>
      <c r="W15" s="4">
        <v>0.01</v>
      </c>
      <c r="X15" s="1">
        <v>1</v>
      </c>
      <c r="Y15" s="4">
        <v>0.01</v>
      </c>
      <c r="Z15" s="1">
        <v>0</v>
      </c>
      <c r="AA15" s="4">
        <v>0</v>
      </c>
      <c r="AB15" s="1">
        <v>1</v>
      </c>
      <c r="AC15" s="4">
        <v>0.01</v>
      </c>
      <c r="AD15" s="1">
        <v>1</v>
      </c>
      <c r="AE15" s="4">
        <v>0.01</v>
      </c>
      <c r="AF15" s="30">
        <v>44</v>
      </c>
      <c r="AG15" s="23">
        <f t="shared" si="12"/>
        <v>2.3351019961937838</v>
      </c>
      <c r="AH15" s="23">
        <f t="shared" si="13"/>
        <v>0.15158721924478935</v>
      </c>
      <c r="AI15" s="4">
        <f t="shared" si="16"/>
        <v>8.7744453876799546E-3</v>
      </c>
      <c r="AK15" s="26">
        <f t="shared" si="15"/>
        <v>8.6105596891123709E-2</v>
      </c>
      <c r="AL15" s="26"/>
    </row>
    <row r="16" spans="1:38" x14ac:dyDescent="0.2">
      <c r="A16" s="1" t="s">
        <v>55</v>
      </c>
      <c r="B16" s="1">
        <v>6360814</v>
      </c>
      <c r="C16" s="1">
        <v>6422483</v>
      </c>
      <c r="D16" s="1">
        <v>521</v>
      </c>
      <c r="E16" s="1">
        <v>561</v>
      </c>
      <c r="F16" s="23">
        <f t="shared" si="0"/>
        <v>8.1907755831250526</v>
      </c>
      <c r="G16" s="23">
        <f t="shared" si="1"/>
        <v>8.7349394307466444</v>
      </c>
      <c r="H16" s="24">
        <f t="shared" si="2"/>
        <v>0.11377191505564545</v>
      </c>
      <c r="I16" s="25">
        <f t="shared" si="17"/>
        <v>7.9640340538951818E-3</v>
      </c>
      <c r="J16" s="51">
        <f t="shared" si="4"/>
        <v>6.6436180810850051E-2</v>
      </c>
      <c r="K16" s="29">
        <f t="shared" si="5"/>
        <v>0.46201086875433356</v>
      </c>
      <c r="L16" s="26">
        <f t="shared" si="18"/>
        <v>1.3860326062630006E-2</v>
      </c>
      <c r="M16" s="28">
        <v>3562020962.1300001</v>
      </c>
      <c r="N16" s="28">
        <v>4213231927</v>
      </c>
      <c r="O16" s="29">
        <f t="shared" si="7"/>
        <v>0.48611922164309868</v>
      </c>
      <c r="P16" s="26">
        <f t="shared" si="19"/>
        <v>3.4028345515016913E-2</v>
      </c>
      <c r="Q16" s="23">
        <f t="shared" si="9"/>
        <v>0.18282064361591852</v>
      </c>
      <c r="R16" s="23">
        <f t="shared" si="10"/>
        <v>0.78082833050499167</v>
      </c>
      <c r="S16" s="26">
        <f t="shared" si="11"/>
        <v>2.3424849915149749E-2</v>
      </c>
      <c r="T16" s="30">
        <v>1</v>
      </c>
      <c r="U16" s="4">
        <v>0.05</v>
      </c>
      <c r="V16" s="1">
        <v>0</v>
      </c>
      <c r="W16" s="4">
        <v>0</v>
      </c>
      <c r="X16" s="1">
        <v>0</v>
      </c>
      <c r="Y16" s="4">
        <v>0</v>
      </c>
      <c r="Z16" s="1">
        <v>0</v>
      </c>
      <c r="AA16" s="4">
        <v>0</v>
      </c>
      <c r="AB16" s="1">
        <v>1</v>
      </c>
      <c r="AC16" s="4">
        <v>0.01</v>
      </c>
      <c r="AD16" s="1">
        <v>0</v>
      </c>
      <c r="AE16" s="4">
        <v>0</v>
      </c>
      <c r="AF16" s="30">
        <v>319</v>
      </c>
      <c r="AG16" s="23">
        <f t="shared" si="12"/>
        <v>5.015081403103439</v>
      </c>
      <c r="AH16" s="23">
        <f t="shared" si="13"/>
        <v>0.35658760468964934</v>
      </c>
      <c r="AI16" s="4">
        <f t="shared" si="16"/>
        <v>1.8844811900305819E-2</v>
      </c>
      <c r="AK16" s="26">
        <f t="shared" si="15"/>
        <v>0.15812236744699767</v>
      </c>
      <c r="AL16" s="26"/>
    </row>
    <row r="17" spans="1:38" x14ac:dyDescent="0.2">
      <c r="A17" s="1" t="s">
        <v>59</v>
      </c>
      <c r="B17" s="1">
        <v>3599951</v>
      </c>
      <c r="C17" s="1">
        <v>3604215</v>
      </c>
      <c r="D17" s="1">
        <v>484</v>
      </c>
      <c r="E17" s="1">
        <v>192</v>
      </c>
      <c r="F17" s="23">
        <f t="shared" si="0"/>
        <v>13.444627440762389</v>
      </c>
      <c r="G17" s="23">
        <f t="shared" si="1"/>
        <v>5.3270961915424024</v>
      </c>
      <c r="H17" s="24">
        <f t="shared" si="2"/>
        <v>4.7891043954858799E-3</v>
      </c>
      <c r="I17" s="25">
        <f t="shared" si="17"/>
        <v>3.3523730768401163E-4</v>
      </c>
      <c r="J17" s="52">
        <f t="shared" si="4"/>
        <v>-0.60377509789588302</v>
      </c>
      <c r="K17" s="29">
        <f t="shared" si="5"/>
        <v>0</v>
      </c>
      <c r="L17" s="26">
        <f t="shared" si="18"/>
        <v>0</v>
      </c>
      <c r="M17" s="28">
        <v>1500808920</v>
      </c>
      <c r="N17" s="28">
        <v>1495237985</v>
      </c>
      <c r="O17" s="29">
        <f t="shared" si="7"/>
        <v>0.1498611066863042</v>
      </c>
      <c r="P17" s="26">
        <f t="shared" si="19"/>
        <v>1.0490277468041296E-2</v>
      </c>
      <c r="Q17" s="23">
        <f t="shared" si="9"/>
        <v>-3.711954883637019E-3</v>
      </c>
      <c r="R17" s="23">
        <f t="shared" si="10"/>
        <v>0.16127981896002649</v>
      </c>
      <c r="S17" s="26">
        <f t="shared" si="11"/>
        <v>4.8383945688007949E-3</v>
      </c>
      <c r="T17" s="30">
        <v>1</v>
      </c>
      <c r="U17" s="4">
        <v>0.05</v>
      </c>
      <c r="V17" s="1">
        <v>0</v>
      </c>
      <c r="W17" s="4">
        <v>0</v>
      </c>
      <c r="X17" s="1">
        <v>1</v>
      </c>
      <c r="Y17" s="4">
        <v>0.01</v>
      </c>
      <c r="Z17" s="1">
        <v>0</v>
      </c>
      <c r="AA17" s="4">
        <v>0</v>
      </c>
      <c r="AB17" s="1">
        <v>1</v>
      </c>
      <c r="AC17" s="4">
        <v>0.01</v>
      </c>
      <c r="AD17" s="1">
        <v>0</v>
      </c>
      <c r="AE17" s="4">
        <v>0</v>
      </c>
      <c r="AF17" s="30">
        <v>81</v>
      </c>
      <c r="AG17" s="23">
        <f t="shared" si="12"/>
        <v>2.2500306254168461</v>
      </c>
      <c r="AH17" s="23">
        <f t="shared" si="13"/>
        <v>0.14507983200344302</v>
      </c>
      <c r="AI17" s="4">
        <f t="shared" si="16"/>
        <v>8.4547787957477694E-3</v>
      </c>
      <c r="AK17" s="26">
        <f t="shared" si="15"/>
        <v>9.4118688140273868E-2</v>
      </c>
      <c r="AL17" s="26"/>
    </row>
    <row r="18" spans="1:38" x14ac:dyDescent="0.2">
      <c r="A18" s="1" t="s">
        <v>60</v>
      </c>
      <c r="B18" s="1">
        <v>3190331</v>
      </c>
      <c r="C18" s="1">
        <v>3227801</v>
      </c>
      <c r="D18" s="1">
        <v>351</v>
      </c>
      <c r="E18" s="1">
        <v>407</v>
      </c>
      <c r="F18" s="23">
        <f t="shared" si="0"/>
        <v>11.001993210108921</v>
      </c>
      <c r="G18" s="23">
        <f t="shared" si="1"/>
        <v>12.609203603320031</v>
      </c>
      <c r="H18" s="24">
        <f t="shared" si="2"/>
        <v>0.23767086495734302</v>
      </c>
      <c r="I18" s="25">
        <f t="shared" si="17"/>
        <v>1.6636960547014013E-2</v>
      </c>
      <c r="J18" s="51">
        <f t="shared" si="4"/>
        <v>0.14608356527018784</v>
      </c>
      <c r="K18" s="29">
        <f t="shared" si="5"/>
        <v>0.51691587924457161</v>
      </c>
      <c r="L18" s="26">
        <f t="shared" si="18"/>
        <v>1.5507476377337147E-2</v>
      </c>
      <c r="M18" s="28">
        <v>775647562</v>
      </c>
      <c r="N18" s="28">
        <v>810316193</v>
      </c>
      <c r="O18" s="29">
        <f t="shared" si="7"/>
        <v>6.512563060158609E-2</v>
      </c>
      <c r="P18" s="26">
        <f t="shared" si="19"/>
        <v>4.5587941421110266E-3</v>
      </c>
      <c r="Q18" s="23">
        <f t="shared" si="9"/>
        <v>4.4696370746795437E-2</v>
      </c>
      <c r="R18" s="23">
        <f t="shared" si="10"/>
        <v>0.32206300823613515</v>
      </c>
      <c r="S18" s="26">
        <f t="shared" si="11"/>
        <v>9.661890247084054E-3</v>
      </c>
      <c r="T18" s="30">
        <v>0</v>
      </c>
      <c r="U18" s="4">
        <v>0</v>
      </c>
      <c r="V18" s="1">
        <v>0</v>
      </c>
      <c r="W18" s="4">
        <v>0</v>
      </c>
      <c r="X18" s="1">
        <v>0</v>
      </c>
      <c r="Y18" s="4">
        <v>0</v>
      </c>
      <c r="Z18" s="1">
        <v>0</v>
      </c>
      <c r="AA18" s="4">
        <v>0</v>
      </c>
      <c r="AB18" s="1">
        <v>0</v>
      </c>
      <c r="AC18" s="4">
        <v>0</v>
      </c>
      <c r="AD18" s="1">
        <v>0</v>
      </c>
      <c r="AE18" s="4">
        <v>0</v>
      </c>
      <c r="AF18" s="30">
        <v>55</v>
      </c>
      <c r="AG18" s="23">
        <f t="shared" si="12"/>
        <v>1.7239590500170672</v>
      </c>
      <c r="AH18" s="23">
        <f t="shared" si="13"/>
        <v>0.10483889752070467</v>
      </c>
      <c r="AI18" s="4">
        <f t="shared" si="16"/>
        <v>6.4779973464234248E-3</v>
      </c>
      <c r="AK18" s="26">
        <f t="shared" si="15"/>
        <v>5.2843118659969671E-2</v>
      </c>
      <c r="AL18" s="26"/>
    </row>
    <row r="19" spans="1:38" x14ac:dyDescent="0.2">
      <c r="A19" s="1" t="s">
        <v>61</v>
      </c>
      <c r="B19" s="1">
        <v>8647986</v>
      </c>
      <c r="C19" s="1">
        <v>8735511</v>
      </c>
      <c r="D19" s="1">
        <v>777</v>
      </c>
      <c r="E19" s="1">
        <v>798</v>
      </c>
      <c r="F19" s="23">
        <f t="shared" si="0"/>
        <v>8.9847509003830481</v>
      </c>
      <c r="G19" s="23">
        <f t="shared" si="1"/>
        <v>9.1351267258435129</v>
      </c>
      <c r="H19" s="24">
        <f t="shared" si="2"/>
        <v>0.12656990285872513</v>
      </c>
      <c r="I19" s="25">
        <f t="shared" si="17"/>
        <v>8.8598932001107602E-3</v>
      </c>
      <c r="J19" s="51">
        <f t="shared" si="4"/>
        <v>1.6736782925618317E-2</v>
      </c>
      <c r="K19" s="29">
        <f t="shared" si="5"/>
        <v>0.42775053515053185</v>
      </c>
      <c r="L19" s="26">
        <f t="shared" si="18"/>
        <v>1.2832516054515955E-2</v>
      </c>
      <c r="M19" s="28">
        <v>2549142131</v>
      </c>
      <c r="N19" s="28">
        <v>2705934680</v>
      </c>
      <c r="O19" s="29">
        <f t="shared" si="7"/>
        <v>0.29964311398009424</v>
      </c>
      <c r="P19" s="26">
        <f t="shared" si="19"/>
        <v>2.0975017978606601E-2</v>
      </c>
      <c r="Q19" s="23">
        <f t="shared" si="9"/>
        <v>6.1507966579522198E-2</v>
      </c>
      <c r="R19" s="23">
        <f t="shared" si="10"/>
        <v>0.3779009650256891</v>
      </c>
      <c r="S19" s="26">
        <f t="shared" si="11"/>
        <v>1.1337028950770673E-2</v>
      </c>
      <c r="T19" s="30">
        <v>0</v>
      </c>
      <c r="U19" s="4">
        <v>0</v>
      </c>
      <c r="V19" s="1">
        <v>1</v>
      </c>
      <c r="W19" s="4">
        <v>0.01</v>
      </c>
      <c r="X19" s="1">
        <v>1</v>
      </c>
      <c r="Y19" s="4">
        <v>0.01</v>
      </c>
      <c r="Z19" s="1">
        <v>1</v>
      </c>
      <c r="AA19" s="4">
        <v>0.01</v>
      </c>
      <c r="AB19" s="1">
        <v>0</v>
      </c>
      <c r="AC19" s="4">
        <v>0</v>
      </c>
      <c r="AD19" s="1">
        <v>0</v>
      </c>
      <c r="AE19" s="4">
        <v>0</v>
      </c>
      <c r="AF19" s="30">
        <v>463</v>
      </c>
      <c r="AG19" s="23">
        <f t="shared" si="12"/>
        <v>5.3538477051188567</v>
      </c>
      <c r="AH19" s="23">
        <f t="shared" si="13"/>
        <v>0.3825009465272165</v>
      </c>
      <c r="AI19" s="4">
        <f t="shared" si="16"/>
        <v>2.0117769750140957E-2</v>
      </c>
      <c r="AK19" s="26">
        <f t="shared" si="15"/>
        <v>0.10412222593414493</v>
      </c>
      <c r="AL19" s="26"/>
    </row>
    <row r="20" spans="1:38" x14ac:dyDescent="0.2">
      <c r="A20" s="1" t="s">
        <v>62</v>
      </c>
      <c r="B20" s="1">
        <v>17379644</v>
      </c>
      <c r="C20" s="1">
        <v>17501220</v>
      </c>
      <c r="D20" s="1">
        <v>1394</v>
      </c>
      <c r="E20" s="1">
        <v>1345</v>
      </c>
      <c r="F20" s="23">
        <f t="shared" si="0"/>
        <v>8.0208777579103465</v>
      </c>
      <c r="G20" s="23">
        <f t="shared" si="1"/>
        <v>7.685178518983248</v>
      </c>
      <c r="H20" s="24">
        <f t="shared" si="2"/>
        <v>8.0200566066053608E-2</v>
      </c>
      <c r="I20" s="25">
        <f t="shared" si="17"/>
        <v>5.6140396246237532E-3</v>
      </c>
      <c r="J20" s="52">
        <f t="shared" si="4"/>
        <v>-4.1853179796441278E-2</v>
      </c>
      <c r="K20" s="29">
        <f t="shared" si="5"/>
        <v>0.38736148107532048</v>
      </c>
      <c r="L20" s="26">
        <f t="shared" si="18"/>
        <v>1.1620844432259613E-2</v>
      </c>
      <c r="M20" s="28">
        <v>4258224314.6500001</v>
      </c>
      <c r="N20" s="28">
        <v>5317706601</v>
      </c>
      <c r="O20" s="29">
        <f t="shared" si="7"/>
        <v>0.62275991320530233</v>
      </c>
      <c r="P20" s="26">
        <f t="shared" si="19"/>
        <v>4.3593193924371165E-2</v>
      </c>
      <c r="Q20" s="23">
        <f t="shared" si="9"/>
        <v>0.24880847227915068</v>
      </c>
      <c r="R20" s="23">
        <f t="shared" si="10"/>
        <v>1</v>
      </c>
      <c r="S20" s="25">
        <v>0.03</v>
      </c>
      <c r="T20" s="30">
        <v>1</v>
      </c>
      <c r="U20" s="4">
        <v>0.05</v>
      </c>
      <c r="V20" s="1">
        <v>0</v>
      </c>
      <c r="W20" s="4">
        <v>0</v>
      </c>
      <c r="X20" s="1">
        <v>1</v>
      </c>
      <c r="Y20" s="4">
        <v>0.01</v>
      </c>
      <c r="Z20" s="1">
        <v>2</v>
      </c>
      <c r="AA20" s="4">
        <v>0.01</v>
      </c>
      <c r="AB20" s="1">
        <v>0</v>
      </c>
      <c r="AC20" s="4">
        <v>0</v>
      </c>
      <c r="AD20" s="1">
        <v>1</v>
      </c>
      <c r="AE20" s="4">
        <v>0.01</v>
      </c>
      <c r="AF20" s="30">
        <v>145</v>
      </c>
      <c r="AG20" s="23">
        <f t="shared" si="12"/>
        <v>0.83430937940961281</v>
      </c>
      <c r="AH20" s="23">
        <f t="shared" si="13"/>
        <v>3.6786686031615029E-2</v>
      </c>
      <c r="AI20" s="4">
        <f t="shared" si="16"/>
        <v>3.1350245505298632E-3</v>
      </c>
      <c r="AK20" s="26">
        <f t="shared" si="15"/>
        <v>0.1739631025317844</v>
      </c>
      <c r="AL20" s="26"/>
    </row>
    <row r="21" spans="1:38" ht="15.75" customHeight="1" x14ac:dyDescent="0.2">
      <c r="A21" s="1" t="s">
        <v>64</v>
      </c>
      <c r="B21" s="1">
        <v>4901506</v>
      </c>
      <c r="C21" s="1">
        <v>4950601</v>
      </c>
      <c r="D21" s="1">
        <v>571</v>
      </c>
      <c r="E21" s="1">
        <v>575</v>
      </c>
      <c r="F21" s="23">
        <f t="shared" si="0"/>
        <v>11.64948079222998</v>
      </c>
      <c r="G21" s="23">
        <f t="shared" si="1"/>
        <v>11.614751421090086</v>
      </c>
      <c r="H21" s="24">
        <f t="shared" si="2"/>
        <v>0.20586828887645034</v>
      </c>
      <c r="I21" s="25">
        <f t="shared" si="17"/>
        <v>1.4410780221351525E-2</v>
      </c>
      <c r="J21" s="51">
        <f t="shared" si="4"/>
        <v>-2.9811947638952569E-3</v>
      </c>
      <c r="K21" s="29">
        <f t="shared" si="5"/>
        <v>0.41415792593633066</v>
      </c>
      <c r="L21" s="26">
        <f t="shared" si="18"/>
        <v>1.2424737778089919E-2</v>
      </c>
      <c r="M21" s="28">
        <v>1484249159.6400001</v>
      </c>
      <c r="N21" s="28">
        <v>1623467337</v>
      </c>
      <c r="O21" s="29">
        <f t="shared" si="7"/>
        <v>0.1657250714727464</v>
      </c>
      <c r="P21" s="26">
        <f t="shared" si="19"/>
        <v>1.1600755003092249E-2</v>
      </c>
      <c r="Q21" s="23">
        <f t="shared" si="9"/>
        <v>9.3797039705763974E-2</v>
      </c>
      <c r="R21" s="23">
        <f t="shared" si="10"/>
        <v>0.485145743447501</v>
      </c>
      <c r="S21" s="26">
        <f t="shared" ref="S21:S37" si="20">(R21*$S$20)/$R$20</f>
        <v>1.4554372303425029E-2</v>
      </c>
      <c r="T21" s="30">
        <v>1</v>
      </c>
      <c r="U21" s="4">
        <v>0.05</v>
      </c>
      <c r="V21" s="1">
        <v>1</v>
      </c>
      <c r="W21" s="4">
        <v>0.01</v>
      </c>
      <c r="X21" s="1">
        <v>1</v>
      </c>
      <c r="Y21" s="4">
        <v>0.01</v>
      </c>
      <c r="Z21" s="1">
        <v>0</v>
      </c>
      <c r="AA21" s="4">
        <v>0</v>
      </c>
      <c r="AB21" s="1">
        <v>1</v>
      </c>
      <c r="AC21" s="4">
        <v>0.01</v>
      </c>
      <c r="AD21" s="1">
        <v>0</v>
      </c>
      <c r="AE21" s="4">
        <v>0</v>
      </c>
      <c r="AF21" s="30">
        <v>115</v>
      </c>
      <c r="AG21" s="23">
        <f t="shared" si="12"/>
        <v>2.3462176726908015</v>
      </c>
      <c r="AH21" s="23">
        <f t="shared" si="13"/>
        <v>0.15243749367618756</v>
      </c>
      <c r="AI21" s="4">
        <f t="shared" si="16"/>
        <v>8.8162139684653685E-3</v>
      </c>
      <c r="AK21" s="26">
        <f t="shared" si="15"/>
        <v>0.1418068592744241</v>
      </c>
      <c r="AL21" s="26"/>
    </row>
    <row r="22" spans="1:38" ht="15.75" customHeight="1" x14ac:dyDescent="0.2">
      <c r="A22" s="1" t="s">
        <v>65</v>
      </c>
      <c r="B22" s="1">
        <v>2017078</v>
      </c>
      <c r="C22" s="1">
        <v>2030857</v>
      </c>
      <c r="D22" s="1">
        <v>255</v>
      </c>
      <c r="E22" s="1">
        <v>242</v>
      </c>
      <c r="F22" s="23">
        <f t="shared" si="0"/>
        <v>12.642049538986592</v>
      </c>
      <c r="G22" s="23">
        <f t="shared" si="1"/>
        <v>11.916151654203126</v>
      </c>
      <c r="H22" s="24">
        <f t="shared" si="2"/>
        <v>0.21550706690485422</v>
      </c>
      <c r="I22" s="25">
        <f t="shared" si="17"/>
        <v>1.5085494683339796E-2</v>
      </c>
      <c r="J22" s="52">
        <f t="shared" si="4"/>
        <v>-5.7419319750716229E-2</v>
      </c>
      <c r="K22" s="29">
        <f t="shared" si="5"/>
        <v>0.37663094568757899</v>
      </c>
      <c r="L22" s="26">
        <f t="shared" si="18"/>
        <v>1.1298928370627369E-2</v>
      </c>
      <c r="M22" s="28">
        <v>730508749.42999995</v>
      </c>
      <c r="N22" s="28">
        <v>890917049</v>
      </c>
      <c r="O22" s="29">
        <f t="shared" si="7"/>
        <v>7.5097209818028671E-2</v>
      </c>
      <c r="P22" s="26">
        <f t="shared" si="19"/>
        <v>5.2568046872620072E-3</v>
      </c>
      <c r="Q22" s="23">
        <f t="shared" si="9"/>
        <v>0.21958436458860095</v>
      </c>
      <c r="R22" s="23">
        <f t="shared" si="10"/>
        <v>0.90293518362715031</v>
      </c>
      <c r="S22" s="26">
        <f t="shared" si="20"/>
        <v>2.7088055508814508E-2</v>
      </c>
      <c r="T22" s="30">
        <v>1</v>
      </c>
      <c r="U22" s="4">
        <v>0.05</v>
      </c>
      <c r="V22" s="1">
        <v>0</v>
      </c>
      <c r="W22" s="4">
        <v>0</v>
      </c>
      <c r="X22" s="1">
        <v>1</v>
      </c>
      <c r="Y22" s="4">
        <v>0.01</v>
      </c>
      <c r="Z22" s="1">
        <v>0</v>
      </c>
      <c r="AA22" s="4">
        <v>0</v>
      </c>
      <c r="AB22" s="1">
        <v>0</v>
      </c>
      <c r="AC22" s="4">
        <v>0</v>
      </c>
      <c r="AD22" s="1">
        <v>0</v>
      </c>
      <c r="AE22" s="4">
        <v>0</v>
      </c>
      <c r="AF22" s="30">
        <v>79</v>
      </c>
      <c r="AG22" s="23">
        <f t="shared" si="12"/>
        <v>3.9165565238429054</v>
      </c>
      <c r="AH22" s="23">
        <f t="shared" si="13"/>
        <v>0.27255784569651637</v>
      </c>
      <c r="AI22" s="4">
        <f t="shared" si="16"/>
        <v>1.4716963705327291E-2</v>
      </c>
      <c r="AK22" s="26">
        <f t="shared" si="15"/>
        <v>0.13344624695537097</v>
      </c>
      <c r="AL22" s="26"/>
    </row>
    <row r="23" spans="1:38" ht="15.75" customHeight="1" x14ac:dyDescent="0.2">
      <c r="A23" s="1" t="s">
        <v>66</v>
      </c>
      <c r="B23" s="1">
        <v>1278605</v>
      </c>
      <c r="C23" s="1">
        <v>1294124</v>
      </c>
      <c r="D23" s="1">
        <v>200</v>
      </c>
      <c r="E23" s="1">
        <v>198</v>
      </c>
      <c r="F23" s="23">
        <f t="shared" si="0"/>
        <v>15.642047387582561</v>
      </c>
      <c r="G23" s="23">
        <f t="shared" si="1"/>
        <v>15.299924891277808</v>
      </c>
      <c r="H23" s="24">
        <f t="shared" si="2"/>
        <v>0.32372011901083569</v>
      </c>
      <c r="I23" s="25">
        <f t="shared" si="17"/>
        <v>2.26604083307585E-2</v>
      </c>
      <c r="J23" s="52">
        <f t="shared" si="4"/>
        <v>-2.1871976719386971E-2</v>
      </c>
      <c r="K23" s="29">
        <f t="shared" si="5"/>
        <v>0.40113554499468662</v>
      </c>
      <c r="L23" s="26">
        <f t="shared" si="18"/>
        <v>1.2034066349840599E-2</v>
      </c>
      <c r="M23" s="28">
        <v>591414603.50999999</v>
      </c>
      <c r="N23" s="28">
        <v>702819082</v>
      </c>
      <c r="O23" s="29">
        <f t="shared" si="7"/>
        <v>5.1826566409572783E-2</v>
      </c>
      <c r="P23" s="26">
        <f t="shared" si="19"/>
        <v>3.6278596486700953E-3</v>
      </c>
      <c r="Q23" s="23">
        <f t="shared" si="9"/>
        <v>0.18836950901926167</v>
      </c>
      <c r="R23" s="23">
        <f t="shared" si="10"/>
        <v>0.79925830643980278</v>
      </c>
      <c r="S23" s="26">
        <f t="shared" si="20"/>
        <v>2.3977749193194082E-2</v>
      </c>
      <c r="T23" s="30">
        <v>1</v>
      </c>
      <c r="U23" s="4">
        <v>0.05</v>
      </c>
      <c r="V23" s="1">
        <v>1</v>
      </c>
      <c r="W23" s="4">
        <v>0.01</v>
      </c>
      <c r="X23" s="1">
        <v>0</v>
      </c>
      <c r="Y23" s="4">
        <v>0</v>
      </c>
      <c r="Z23" s="1">
        <v>0</v>
      </c>
      <c r="AA23" s="4">
        <v>0</v>
      </c>
      <c r="AB23" s="1">
        <v>1</v>
      </c>
      <c r="AC23" s="4">
        <v>0.01</v>
      </c>
      <c r="AD23" s="1">
        <v>0</v>
      </c>
      <c r="AE23" s="4">
        <v>0</v>
      </c>
      <c r="AF23" s="30">
        <v>81</v>
      </c>
      <c r="AG23" s="23">
        <f t="shared" si="12"/>
        <v>6.3350291919709374</v>
      </c>
      <c r="AH23" s="23">
        <f t="shared" si="13"/>
        <v>0.45755472585008805</v>
      </c>
      <c r="AI23" s="4">
        <f t="shared" si="16"/>
        <v>2.380468509080676E-2</v>
      </c>
      <c r="AK23" s="26">
        <f t="shared" si="15"/>
        <v>0.15610476861327005</v>
      </c>
      <c r="AL23" s="26"/>
    </row>
    <row r="24" spans="1:38" ht="15.75" customHeight="1" x14ac:dyDescent="0.2">
      <c r="A24" s="1" t="s">
        <v>67</v>
      </c>
      <c r="B24" s="1">
        <v>6095498</v>
      </c>
      <c r="C24" s="1">
        <v>6202153</v>
      </c>
      <c r="D24" s="1">
        <v>628</v>
      </c>
      <c r="E24" s="1">
        <v>608</v>
      </c>
      <c r="F24" s="23">
        <f t="shared" si="0"/>
        <v>10.302685687043125</v>
      </c>
      <c r="G24" s="23">
        <f t="shared" si="1"/>
        <v>9.8030474256278417</v>
      </c>
      <c r="H24" s="24">
        <f t="shared" si="2"/>
        <v>0.14793000367650636</v>
      </c>
      <c r="I24" s="25">
        <f t="shared" si="17"/>
        <v>1.0355100257355445E-2</v>
      </c>
      <c r="J24" s="52">
        <f t="shared" si="4"/>
        <v>-4.849592393599262E-2</v>
      </c>
      <c r="K24" s="29">
        <f t="shared" si="5"/>
        <v>0.38278229822905602</v>
      </c>
      <c r="L24" s="26">
        <f t="shared" si="18"/>
        <v>1.148346894687168E-2</v>
      </c>
      <c r="M24" s="28">
        <v>3747142255</v>
      </c>
      <c r="N24" s="28">
        <v>3947142255</v>
      </c>
      <c r="O24" s="29">
        <f t="shared" si="7"/>
        <v>0.45319979156874285</v>
      </c>
      <c r="P24" s="26">
        <f t="shared" si="19"/>
        <v>3.1723985409812E-2</v>
      </c>
      <c r="Q24" s="23">
        <f t="shared" si="9"/>
        <v>5.3374007814389744E-2</v>
      </c>
      <c r="R24" s="23">
        <f t="shared" si="10"/>
        <v>0.35088487193288881</v>
      </c>
      <c r="S24" s="26">
        <f t="shared" si="20"/>
        <v>1.0526546157986663E-2</v>
      </c>
      <c r="T24" s="30">
        <v>1</v>
      </c>
      <c r="U24" s="4">
        <v>0.05</v>
      </c>
      <c r="V24" s="1">
        <v>3</v>
      </c>
      <c r="W24" s="4">
        <v>0.01</v>
      </c>
      <c r="X24" s="1">
        <v>1</v>
      </c>
      <c r="Y24" s="4">
        <v>0.01</v>
      </c>
      <c r="Z24" s="1">
        <v>0</v>
      </c>
      <c r="AA24" s="4">
        <v>0</v>
      </c>
      <c r="AB24" s="1">
        <v>1</v>
      </c>
      <c r="AC24" s="4">
        <v>0.01</v>
      </c>
      <c r="AD24" s="1">
        <v>1</v>
      </c>
      <c r="AE24" s="4">
        <v>0.01</v>
      </c>
      <c r="AF24" s="30">
        <v>72</v>
      </c>
      <c r="AG24" s="23">
        <f t="shared" si="12"/>
        <v>1.181199632909403</v>
      </c>
      <c r="AH24" s="23">
        <f t="shared" si="13"/>
        <v>6.3321455474684665E-2</v>
      </c>
      <c r="AI24" s="4">
        <f t="shared" si="16"/>
        <v>4.4385091905214816E-3</v>
      </c>
      <c r="AK24" s="26">
        <f t="shared" si="15"/>
        <v>0.15852760996254731</v>
      </c>
      <c r="AL24" s="26"/>
    </row>
    <row r="25" spans="1:38" ht="15.75" customHeight="1" x14ac:dyDescent="0.2">
      <c r="A25" s="1" t="s">
        <v>70</v>
      </c>
      <c r="B25" s="1">
        <v>4244538</v>
      </c>
      <c r="C25" s="1">
        <v>4276769</v>
      </c>
      <c r="D25" s="1">
        <v>445</v>
      </c>
      <c r="E25" s="1">
        <v>448</v>
      </c>
      <c r="F25" s="23">
        <f t="shared" si="0"/>
        <v>10.484062105227942</v>
      </c>
      <c r="G25" s="23">
        <f t="shared" si="1"/>
        <v>10.47519751475939</v>
      </c>
      <c r="H25" s="24">
        <f t="shared" si="2"/>
        <v>0.16942536034559366</v>
      </c>
      <c r="I25" s="25">
        <f t="shared" si="17"/>
        <v>1.1859775224191557E-2</v>
      </c>
      <c r="J25" s="51">
        <f t="shared" si="4"/>
        <v>-8.4553013703829428E-4</v>
      </c>
      <c r="K25" s="29">
        <f t="shared" si="5"/>
        <v>0.41563014865321191</v>
      </c>
      <c r="L25" s="26">
        <f t="shared" si="18"/>
        <v>1.2468904459596357E-2</v>
      </c>
      <c r="M25" s="28">
        <v>830702746.38</v>
      </c>
      <c r="N25" s="28">
        <v>897759188</v>
      </c>
      <c r="O25" s="29">
        <f t="shared" si="7"/>
        <v>7.5943688806395876E-2</v>
      </c>
      <c r="P25" s="26">
        <f t="shared" si="19"/>
        <v>5.3160582164477116E-3</v>
      </c>
      <c r="Q25" s="23">
        <f t="shared" si="9"/>
        <v>8.0722547159276445E-2</v>
      </c>
      <c r="R25" s="23">
        <f t="shared" si="10"/>
        <v>0.44172018426085086</v>
      </c>
      <c r="S25" s="26">
        <f t="shared" si="20"/>
        <v>1.3251605527825526E-2</v>
      </c>
      <c r="T25" s="30">
        <v>1</v>
      </c>
      <c r="U25" s="4">
        <v>0.05</v>
      </c>
      <c r="V25" s="1">
        <v>0</v>
      </c>
      <c r="W25" s="4">
        <v>0</v>
      </c>
      <c r="X25" s="1">
        <v>1</v>
      </c>
      <c r="Y25" s="4">
        <v>0.01</v>
      </c>
      <c r="Z25" s="1">
        <v>0</v>
      </c>
      <c r="AA25" s="4">
        <v>0</v>
      </c>
      <c r="AB25" s="1">
        <v>3</v>
      </c>
      <c r="AC25" s="4">
        <v>0.01</v>
      </c>
      <c r="AD25" s="1">
        <v>1</v>
      </c>
      <c r="AE25" s="4">
        <v>0.01</v>
      </c>
      <c r="AF25" s="30">
        <v>15</v>
      </c>
      <c r="AG25" s="23">
        <f t="shared" si="12"/>
        <v>0.35339535186161602</v>
      </c>
      <c r="AH25" s="23">
        <f t="shared" si="13"/>
        <v>0</v>
      </c>
      <c r="AI25" s="4">
        <f t="shared" si="16"/>
        <v>1.3279283818111904E-3</v>
      </c>
      <c r="AK25" s="26">
        <f t="shared" si="15"/>
        <v>0.12422427180987233</v>
      </c>
      <c r="AL25" s="26"/>
    </row>
    <row r="26" spans="1:38" ht="15.75" customHeight="1" x14ac:dyDescent="0.2">
      <c r="A26" s="1" t="s">
        <v>71</v>
      </c>
      <c r="B26" s="1">
        <v>6824785</v>
      </c>
      <c r="C26" s="1">
        <v>6907421</v>
      </c>
      <c r="D26" s="1">
        <v>666</v>
      </c>
      <c r="E26" s="1">
        <v>666</v>
      </c>
      <c r="F26" s="23">
        <f t="shared" si="0"/>
        <v>9.7585491704134277</v>
      </c>
      <c r="G26" s="23">
        <f t="shared" si="1"/>
        <v>9.6418040828841907</v>
      </c>
      <c r="H26" s="24">
        <f t="shared" si="2"/>
        <v>0.14277344233874192</v>
      </c>
      <c r="I26" s="25">
        <f t="shared" si="17"/>
        <v>9.9941409637119352E-3</v>
      </c>
      <c r="J26" s="51">
        <f t="shared" si="4"/>
        <v>-1.1963365198096458E-2</v>
      </c>
      <c r="K26" s="29">
        <f t="shared" si="5"/>
        <v>0.40796605704744454</v>
      </c>
      <c r="L26" s="26">
        <f t="shared" si="18"/>
        <v>1.2238981711423336E-2</v>
      </c>
      <c r="M26" s="28">
        <v>1484463813.4000001</v>
      </c>
      <c r="N26" s="28">
        <v>1559690398</v>
      </c>
      <c r="O26" s="29">
        <f t="shared" si="7"/>
        <v>0.1578348723981767</v>
      </c>
      <c r="P26" s="26">
        <f t="shared" si="19"/>
        <v>1.104844106787237E-2</v>
      </c>
      <c r="Q26" s="23">
        <f t="shared" si="9"/>
        <v>5.0675930205197617E-2</v>
      </c>
      <c r="R26" s="23">
        <f t="shared" si="10"/>
        <v>0.34192348941715789</v>
      </c>
      <c r="S26" s="26">
        <f t="shared" si="20"/>
        <v>1.0257704682514737E-2</v>
      </c>
      <c r="T26" s="30">
        <v>1</v>
      </c>
      <c r="U26" s="4">
        <v>0.05</v>
      </c>
      <c r="V26" s="1">
        <v>1</v>
      </c>
      <c r="W26" s="4">
        <v>0.01</v>
      </c>
      <c r="X26" s="1">
        <v>1</v>
      </c>
      <c r="Y26" s="4">
        <v>0.01</v>
      </c>
      <c r="Z26" s="1">
        <v>0</v>
      </c>
      <c r="AA26" s="4">
        <v>0</v>
      </c>
      <c r="AB26" s="1">
        <v>0</v>
      </c>
      <c r="AC26" s="4">
        <v>0</v>
      </c>
      <c r="AD26" s="1">
        <v>0</v>
      </c>
      <c r="AE26" s="4">
        <v>0</v>
      </c>
      <c r="AF26" s="30">
        <v>235</v>
      </c>
      <c r="AG26" s="23">
        <f t="shared" si="12"/>
        <v>3.4433319144852184</v>
      </c>
      <c r="AH26" s="23">
        <f t="shared" si="13"/>
        <v>0.2363593483982909</v>
      </c>
      <c r="AI26" s="4">
        <f t="shared" si="16"/>
        <v>1.2938761512153962E-2</v>
      </c>
      <c r="AK26" s="26">
        <f t="shared" si="15"/>
        <v>0.12647802993767632</v>
      </c>
      <c r="AL26" s="26"/>
    </row>
    <row r="27" spans="1:38" ht="15.75" customHeight="1" x14ac:dyDescent="0.2">
      <c r="A27" s="1" t="s">
        <v>74</v>
      </c>
      <c r="B27" s="1">
        <v>2508214</v>
      </c>
      <c r="C27" s="1">
        <v>2557915</v>
      </c>
      <c r="D27" s="1">
        <v>214</v>
      </c>
      <c r="E27" s="1">
        <v>181</v>
      </c>
      <c r="F27" s="23">
        <f t="shared" si="0"/>
        <v>8.531967368015648</v>
      </c>
      <c r="G27" s="23">
        <f t="shared" si="1"/>
        <v>7.076075631911146</v>
      </c>
      <c r="H27" s="24">
        <f t="shared" si="2"/>
        <v>6.0721458620420013E-2</v>
      </c>
      <c r="I27" s="25">
        <f t="shared" si="17"/>
        <v>4.2505021034294011E-3</v>
      </c>
      <c r="J27" s="52">
        <f t="shared" si="4"/>
        <v>-0.17063962780287931</v>
      </c>
      <c r="K27" s="29">
        <f t="shared" si="5"/>
        <v>0.29858240406239067</v>
      </c>
      <c r="L27" s="26">
        <f t="shared" si="18"/>
        <v>8.9574721218717204E-3</v>
      </c>
      <c r="M27" s="28">
        <v>1007238043</v>
      </c>
      <c r="N27" s="28">
        <v>1186608362</v>
      </c>
      <c r="O27" s="29">
        <f t="shared" si="7"/>
        <v>0.11167882318443532</v>
      </c>
      <c r="P27" s="26">
        <f t="shared" si="19"/>
        <v>7.8175176229104727E-3</v>
      </c>
      <c r="Q27" s="23">
        <f t="shared" si="9"/>
        <v>0.17808135846989648</v>
      </c>
      <c r="R27" s="23">
        <f t="shared" si="10"/>
        <v>0.76508729069949022</v>
      </c>
      <c r="S27" s="26">
        <f t="shared" si="20"/>
        <v>2.2952618720984707E-2</v>
      </c>
      <c r="T27" s="30">
        <v>1</v>
      </c>
      <c r="U27" s="4">
        <v>0.05</v>
      </c>
      <c r="V27" s="1">
        <v>0</v>
      </c>
      <c r="W27" s="4">
        <v>0</v>
      </c>
      <c r="X27" s="1">
        <v>0</v>
      </c>
      <c r="Y27" s="4">
        <v>0</v>
      </c>
      <c r="Z27" s="1">
        <v>0</v>
      </c>
      <c r="AA27" s="4">
        <v>0</v>
      </c>
      <c r="AB27" s="1">
        <v>0</v>
      </c>
      <c r="AC27" s="4">
        <v>0</v>
      </c>
      <c r="AD27" s="1">
        <v>0</v>
      </c>
      <c r="AE27" s="4">
        <v>0</v>
      </c>
      <c r="AF27" s="30">
        <v>44</v>
      </c>
      <c r="AG27" s="23">
        <f t="shared" si="12"/>
        <v>1.7542362812742454</v>
      </c>
      <c r="AH27" s="23">
        <f t="shared" si="13"/>
        <v>0.10715490191309734</v>
      </c>
      <c r="AI27" s="4">
        <f t="shared" si="16"/>
        <v>6.5917679280037157E-3</v>
      </c>
      <c r="AK27" s="26">
        <f t="shared" si="15"/>
        <v>0.10056987849720002</v>
      </c>
      <c r="AL27" s="26"/>
    </row>
    <row r="28" spans="1:38" ht="15.75" customHeight="1" x14ac:dyDescent="0.2">
      <c r="A28" s="1" t="s">
        <v>77</v>
      </c>
      <c r="B28" s="1">
        <v>1977161</v>
      </c>
      <c r="C28" s="1">
        <v>2019606</v>
      </c>
      <c r="D28" s="1">
        <v>309</v>
      </c>
      <c r="E28" s="1">
        <v>340</v>
      </c>
      <c r="F28" s="23">
        <f t="shared" si="0"/>
        <v>15.628469305231087</v>
      </c>
      <c r="G28" s="23">
        <f t="shared" si="1"/>
        <v>16.834966820260981</v>
      </c>
      <c r="H28" s="24">
        <f t="shared" si="2"/>
        <v>0.37281075263424246</v>
      </c>
      <c r="I28" s="25">
        <f t="shared" si="17"/>
        <v>2.6096752684396974E-2</v>
      </c>
      <c r="J28" s="51">
        <f t="shared" si="4"/>
        <v>7.7198700107249787E-2</v>
      </c>
      <c r="K28" s="29">
        <f t="shared" si="5"/>
        <v>0.46943002305401932</v>
      </c>
      <c r="L28" s="26">
        <f t="shared" si="18"/>
        <v>1.4082900691620579E-2</v>
      </c>
      <c r="M28" s="28">
        <v>1197580287.8</v>
      </c>
      <c r="N28" s="28">
        <v>1399223246</v>
      </c>
      <c r="O28" s="29">
        <f t="shared" si="7"/>
        <v>0.13798259045957134</v>
      </c>
      <c r="P28" s="26">
        <f t="shared" si="19"/>
        <v>9.6587813321699946E-3</v>
      </c>
      <c r="Q28" s="23">
        <f t="shared" si="9"/>
        <v>0.16837531500324354</v>
      </c>
      <c r="R28" s="23">
        <f t="shared" si="10"/>
        <v>0.73284968273645157</v>
      </c>
      <c r="S28" s="26">
        <f t="shared" si="20"/>
        <v>2.1985490482093546E-2</v>
      </c>
      <c r="T28" s="53">
        <v>1</v>
      </c>
      <c r="U28" s="4">
        <v>0.05</v>
      </c>
      <c r="V28" s="1">
        <v>1</v>
      </c>
      <c r="W28" s="4">
        <v>0.01</v>
      </c>
      <c r="X28" s="1">
        <v>1</v>
      </c>
      <c r="Y28" s="4">
        <v>0.01</v>
      </c>
      <c r="Z28" s="1">
        <v>0</v>
      </c>
      <c r="AA28" s="4">
        <v>0</v>
      </c>
      <c r="AB28" s="1">
        <v>0</v>
      </c>
      <c r="AC28" s="4">
        <v>0</v>
      </c>
      <c r="AD28" s="1">
        <v>0</v>
      </c>
      <c r="AE28" s="4">
        <v>0</v>
      </c>
      <c r="AF28" s="30">
        <v>40</v>
      </c>
      <c r="AG28" s="23">
        <f t="shared" si="12"/>
        <v>2.0231028226836356</v>
      </c>
      <c r="AH28" s="23">
        <f t="shared" si="13"/>
        <v>0.12772138256591287</v>
      </c>
      <c r="AI28" s="4">
        <f t="shared" si="16"/>
        <v>7.6020684579233971E-3</v>
      </c>
      <c r="AK28" s="26">
        <f t="shared" si="15"/>
        <v>0.14942599364820452</v>
      </c>
      <c r="AL28" s="26"/>
    </row>
    <row r="29" spans="1:38" ht="15.75" customHeight="1" x14ac:dyDescent="0.2">
      <c r="A29" s="1" t="s">
        <v>78</v>
      </c>
      <c r="B29" s="1">
        <v>2905759</v>
      </c>
      <c r="C29" s="1">
        <v>2931052</v>
      </c>
      <c r="D29" s="1">
        <v>0</v>
      </c>
      <c r="E29" s="54" t="s">
        <v>163</v>
      </c>
      <c r="F29" s="32">
        <f t="shared" si="0"/>
        <v>0</v>
      </c>
      <c r="G29" s="55" t="s">
        <v>123</v>
      </c>
      <c r="H29" s="33" t="s">
        <v>123</v>
      </c>
      <c r="I29" s="34">
        <v>0</v>
      </c>
      <c r="J29" s="56" t="s">
        <v>123</v>
      </c>
      <c r="K29" s="33" t="s">
        <v>123</v>
      </c>
      <c r="L29" s="34">
        <v>0</v>
      </c>
      <c r="M29" s="28">
        <v>1226520887</v>
      </c>
      <c r="N29" s="28">
        <v>1206523900</v>
      </c>
      <c r="O29" s="29">
        <f t="shared" si="7"/>
        <v>0.11414268491817513</v>
      </c>
      <c r="P29" s="26">
        <f t="shared" si="19"/>
        <v>7.9899879442722598E-3</v>
      </c>
      <c r="Q29" s="23">
        <f t="shared" si="9"/>
        <v>-1.6303829157701087E-2</v>
      </c>
      <c r="R29" s="23">
        <f t="shared" si="10"/>
        <v>0.11945722587543856</v>
      </c>
      <c r="S29" s="26">
        <f t="shared" si="20"/>
        <v>3.5837167762631564E-3</v>
      </c>
      <c r="T29" s="30">
        <v>1</v>
      </c>
      <c r="U29" s="4">
        <v>0.05</v>
      </c>
      <c r="V29" s="1">
        <v>0</v>
      </c>
      <c r="W29" s="4">
        <v>0</v>
      </c>
      <c r="X29" s="1">
        <v>0</v>
      </c>
      <c r="Y29" s="4">
        <v>0</v>
      </c>
      <c r="Z29" s="1">
        <v>0</v>
      </c>
      <c r="AA29" s="4">
        <v>0</v>
      </c>
      <c r="AB29" s="1">
        <v>0</v>
      </c>
      <c r="AC29" s="4">
        <v>0</v>
      </c>
      <c r="AD29" s="1">
        <v>0</v>
      </c>
      <c r="AE29" s="4">
        <v>0</v>
      </c>
      <c r="AF29" s="30">
        <v>78</v>
      </c>
      <c r="AG29" s="23">
        <f t="shared" si="12"/>
        <v>2.6843244742595651</v>
      </c>
      <c r="AH29" s="23">
        <f t="shared" si="13"/>
        <v>0.17830038816874283</v>
      </c>
      <c r="AI29" s="4">
        <f t="shared" si="16"/>
        <v>1.0086693660746038E-2</v>
      </c>
      <c r="AK29" s="26">
        <f t="shared" si="15"/>
        <v>7.1660398381281451E-2</v>
      </c>
      <c r="AL29" s="26"/>
    </row>
    <row r="30" spans="1:38" ht="15.75" customHeight="1" x14ac:dyDescent="0.2">
      <c r="A30" s="1" t="s">
        <v>79</v>
      </c>
      <c r="B30" s="1">
        <v>3118470</v>
      </c>
      <c r="C30" s="1">
        <v>3142699</v>
      </c>
      <c r="D30" s="1">
        <v>419</v>
      </c>
      <c r="E30" s="1">
        <v>337</v>
      </c>
      <c r="F30" s="23">
        <f t="shared" si="0"/>
        <v>13.436076024460712</v>
      </c>
      <c r="G30" s="23">
        <f t="shared" ref="G30:G38" si="21">E30/C30*100000</f>
        <v>10.723266848018216</v>
      </c>
      <c r="H30" s="24">
        <f t="shared" ref="H30:H37" si="22">(G30-$H$3)/($H$2-$H$3)</f>
        <v>0.1773586164490791</v>
      </c>
      <c r="I30" s="25">
        <f t="shared" ref="I30:I37" si="23">(H30*$I$14)/$H$14</f>
        <v>1.2415103151435538E-2</v>
      </c>
      <c r="J30" s="52">
        <f t="shared" ref="J30:J38" si="24">((G30-F30)/F30)</f>
        <v>-0.20190486950980027</v>
      </c>
      <c r="K30" s="29">
        <f t="shared" ref="K30:K37" si="25">(J30-$K$3)/($K$2-$K$3)</f>
        <v>0.27702967592761174</v>
      </c>
      <c r="L30" s="26">
        <f t="shared" ref="L30:L37" si="26">(K30*$L$14)/$K$14</f>
        <v>8.3108902778283519E-3</v>
      </c>
      <c r="M30" s="28">
        <v>764614847.41999996</v>
      </c>
      <c r="N30" s="28">
        <v>821255208</v>
      </c>
      <c r="O30" s="29">
        <f t="shared" si="7"/>
        <v>6.6478956856860033E-2</v>
      </c>
      <c r="P30" s="26">
        <f t="shared" si="19"/>
        <v>4.6535269799802027E-3</v>
      </c>
      <c r="Q30" s="23">
        <f t="shared" si="9"/>
        <v>7.4076982380238438E-2</v>
      </c>
      <c r="R30" s="23">
        <f t="shared" si="10"/>
        <v>0.41964763608242378</v>
      </c>
      <c r="S30" s="26">
        <f t="shared" si="20"/>
        <v>1.2589429082472714E-2</v>
      </c>
      <c r="T30" s="30">
        <v>1</v>
      </c>
      <c r="U30" s="4">
        <v>0.05</v>
      </c>
      <c r="V30" s="1">
        <v>0</v>
      </c>
      <c r="W30" s="4">
        <v>0</v>
      </c>
      <c r="X30" s="1">
        <v>9</v>
      </c>
      <c r="Y30" s="4">
        <v>0.01</v>
      </c>
      <c r="Z30" s="1">
        <v>0</v>
      </c>
      <c r="AA30" s="4">
        <v>0</v>
      </c>
      <c r="AB30" s="1">
        <v>0</v>
      </c>
      <c r="AC30" s="4">
        <v>0</v>
      </c>
      <c r="AD30" s="1">
        <v>0</v>
      </c>
      <c r="AE30" s="4">
        <v>0</v>
      </c>
      <c r="AF30" s="30">
        <v>85</v>
      </c>
      <c r="AG30" s="23">
        <f t="shared" si="12"/>
        <v>2.7256956135540826</v>
      </c>
      <c r="AH30" s="23">
        <f t="shared" si="13"/>
        <v>0.18146500185189379</v>
      </c>
      <c r="AI30" s="4">
        <f t="shared" si="16"/>
        <v>1.0242151025331206E-2</v>
      </c>
      <c r="AK30" s="26">
        <f t="shared" si="15"/>
        <v>0.10821110051704801</v>
      </c>
      <c r="AL30" s="26"/>
    </row>
    <row r="31" spans="1:38" ht="15.75" customHeight="1" x14ac:dyDescent="0.2">
      <c r="A31" s="1" t="s">
        <v>80</v>
      </c>
      <c r="B31" s="1">
        <v>3051188</v>
      </c>
      <c r="C31" s="1">
        <v>3081734</v>
      </c>
      <c r="D31" s="1">
        <v>344</v>
      </c>
      <c r="E31" s="1">
        <v>316</v>
      </c>
      <c r="F31" s="23">
        <f t="shared" si="0"/>
        <v>11.274297093459991</v>
      </c>
      <c r="G31" s="23">
        <f t="shared" si="21"/>
        <v>10.253967409257257</v>
      </c>
      <c r="H31" s="24">
        <f t="shared" si="22"/>
        <v>0.16235042261873503</v>
      </c>
      <c r="I31" s="25">
        <f t="shared" si="23"/>
        <v>1.1364529583311453E-2</v>
      </c>
      <c r="J31" s="52">
        <f t="shared" si="24"/>
        <v>-9.0500514200092183E-2</v>
      </c>
      <c r="K31" s="29">
        <f t="shared" si="25"/>
        <v>0.35382638856869608</v>
      </c>
      <c r="L31" s="26">
        <f t="shared" si="26"/>
        <v>1.0614791657060882E-2</v>
      </c>
      <c r="M31" s="28">
        <v>1799622820</v>
      </c>
      <c r="N31" s="28">
        <v>1962435964</v>
      </c>
      <c r="O31" s="29">
        <f t="shared" si="7"/>
        <v>0.20766076153563207</v>
      </c>
      <c r="P31" s="26">
        <f t="shared" si="19"/>
        <v>1.4536253307494246E-2</v>
      </c>
      <c r="Q31" s="23">
        <f t="shared" si="9"/>
        <v>9.0470704300137733E-2</v>
      </c>
      <c r="R31" s="23">
        <f t="shared" si="10"/>
        <v>0.47409766838699102</v>
      </c>
      <c r="S31" s="26">
        <f t="shared" si="20"/>
        <v>1.422293005160973E-2</v>
      </c>
      <c r="T31" s="30">
        <v>1</v>
      </c>
      <c r="U31" s="4">
        <v>0.05</v>
      </c>
      <c r="V31" s="1">
        <v>1</v>
      </c>
      <c r="W31" s="4">
        <v>0.01</v>
      </c>
      <c r="X31" s="1">
        <v>1</v>
      </c>
      <c r="Y31" s="4">
        <v>0.01</v>
      </c>
      <c r="Z31" s="1">
        <v>2</v>
      </c>
      <c r="AA31" s="4">
        <v>0.01</v>
      </c>
      <c r="AB31" s="1">
        <v>1</v>
      </c>
      <c r="AC31" s="4">
        <v>0.01</v>
      </c>
      <c r="AD31" s="1">
        <v>1</v>
      </c>
      <c r="AE31" s="4">
        <v>0.01</v>
      </c>
      <c r="AF31" s="30">
        <v>132</v>
      </c>
      <c r="AG31" s="23">
        <f t="shared" si="12"/>
        <v>4.3261837684206936</v>
      </c>
      <c r="AH31" s="23">
        <f t="shared" si="13"/>
        <v>0.30389157266869282</v>
      </c>
      <c r="AI31" s="4">
        <f t="shared" si="16"/>
        <v>1.625619063961635E-2</v>
      </c>
      <c r="AK31" s="26">
        <f t="shared" si="15"/>
        <v>0.16699469523909266</v>
      </c>
      <c r="AL31" s="26"/>
    </row>
    <row r="32" spans="1:38" ht="15.75" customHeight="1" x14ac:dyDescent="0.2">
      <c r="A32" s="1" t="s">
        <v>81</v>
      </c>
      <c r="B32" s="1">
        <v>2447193</v>
      </c>
      <c r="C32" s="1">
        <v>2454787</v>
      </c>
      <c r="D32" s="1">
        <v>369</v>
      </c>
      <c r="E32" s="1">
        <v>373</v>
      </c>
      <c r="F32" s="23">
        <f t="shared" si="0"/>
        <v>15.078500142816686</v>
      </c>
      <c r="G32" s="23">
        <f t="shared" si="21"/>
        <v>15.194801015322307</v>
      </c>
      <c r="H32" s="24">
        <f t="shared" si="22"/>
        <v>0.32035825795533834</v>
      </c>
      <c r="I32" s="25">
        <f t="shared" si="23"/>
        <v>2.2425078056873687E-2</v>
      </c>
      <c r="J32" s="51">
        <f t="shared" si="24"/>
        <v>7.7130265877953103E-3</v>
      </c>
      <c r="K32" s="29">
        <f t="shared" si="25"/>
        <v>0.42152999897407439</v>
      </c>
      <c r="L32" s="26">
        <f t="shared" si="26"/>
        <v>1.2645899969222231E-2</v>
      </c>
      <c r="M32" s="28">
        <v>1087202615</v>
      </c>
      <c r="N32" s="28">
        <v>1108978933</v>
      </c>
      <c r="O32" s="29">
        <f t="shared" si="7"/>
        <v>0.10207485569306396</v>
      </c>
      <c r="P32" s="26">
        <f t="shared" si="19"/>
        <v>7.1452398985144775E-3</v>
      </c>
      <c r="Q32" s="23">
        <f t="shared" si="9"/>
        <v>2.0029677724790976E-2</v>
      </c>
      <c r="R32" s="23">
        <f t="shared" si="10"/>
        <v>0.24013516790448472</v>
      </c>
      <c r="S32" s="26">
        <f t="shared" si="20"/>
        <v>7.2040550371345411E-3</v>
      </c>
      <c r="T32" s="53">
        <v>1</v>
      </c>
      <c r="U32" s="4">
        <v>0.05</v>
      </c>
      <c r="V32" s="1">
        <v>0</v>
      </c>
      <c r="W32" s="4">
        <v>0</v>
      </c>
      <c r="X32" s="1">
        <v>1</v>
      </c>
      <c r="Y32" s="4">
        <v>0.01</v>
      </c>
      <c r="Z32" s="1">
        <v>2</v>
      </c>
      <c r="AA32" s="4">
        <v>0.01</v>
      </c>
      <c r="AB32" s="1">
        <v>1</v>
      </c>
      <c r="AC32" s="4">
        <v>0.01</v>
      </c>
      <c r="AD32" s="1">
        <v>1</v>
      </c>
      <c r="AE32" s="4">
        <v>0.01</v>
      </c>
      <c r="AF32" s="30">
        <v>71</v>
      </c>
      <c r="AG32" s="23">
        <f t="shared" si="12"/>
        <v>2.9012832253116123</v>
      </c>
      <c r="AH32" s="23">
        <f t="shared" si="13"/>
        <v>0.19489627225525233</v>
      </c>
      <c r="AI32" s="4">
        <f t="shared" si="16"/>
        <v>1.0901944007663842E-2</v>
      </c>
      <c r="AK32" s="26">
        <f t="shared" si="15"/>
        <v>0.15032221696940878</v>
      </c>
      <c r="AL32" s="26"/>
    </row>
    <row r="33" spans="1:38" ht="15.75" customHeight="1" x14ac:dyDescent="0.2">
      <c r="A33" s="1" t="s">
        <v>82</v>
      </c>
      <c r="B33" s="1">
        <v>3652671</v>
      </c>
      <c r="C33" s="1">
        <v>3685588</v>
      </c>
      <c r="D33" s="1">
        <v>316</v>
      </c>
      <c r="E33" s="1">
        <v>322</v>
      </c>
      <c r="F33" s="23">
        <f t="shared" si="0"/>
        <v>8.6512034617954914</v>
      </c>
      <c r="G33" s="23">
        <f t="shared" si="21"/>
        <v>8.7367334601697202</v>
      </c>
      <c r="H33" s="24">
        <f t="shared" si="22"/>
        <v>0.11382928810810412</v>
      </c>
      <c r="I33" s="25">
        <f t="shared" si="23"/>
        <v>7.968050167567289E-3</v>
      </c>
      <c r="J33" s="51">
        <f t="shared" si="24"/>
        <v>9.8864855915060997E-3</v>
      </c>
      <c r="K33" s="29">
        <f t="shared" si="25"/>
        <v>0.42302827528545495</v>
      </c>
      <c r="L33" s="26">
        <f t="shared" si="26"/>
        <v>1.2690848258563647E-2</v>
      </c>
      <c r="M33" s="28">
        <v>1497710162</v>
      </c>
      <c r="N33" s="28">
        <v>1419425144</v>
      </c>
      <c r="O33" s="29">
        <f t="shared" si="7"/>
        <v>0.14048187937815915</v>
      </c>
      <c r="P33" s="26">
        <f t="shared" si="19"/>
        <v>9.8337315564711418E-3</v>
      </c>
      <c r="Q33" s="23">
        <f t="shared" si="9"/>
        <v>-5.226980492371127E-2</v>
      </c>
      <c r="R33" s="23">
        <f t="shared" si="10"/>
        <v>0</v>
      </c>
      <c r="S33" s="26">
        <f t="shared" si="20"/>
        <v>0</v>
      </c>
      <c r="T33" s="30">
        <v>1</v>
      </c>
      <c r="U33" s="4">
        <v>0.05</v>
      </c>
      <c r="V33" s="1">
        <v>2</v>
      </c>
      <c r="W33" s="4">
        <v>0.01</v>
      </c>
      <c r="X33" s="1">
        <v>3</v>
      </c>
      <c r="Y33" s="4">
        <v>0.01</v>
      </c>
      <c r="Z33" s="1">
        <v>0</v>
      </c>
      <c r="AA33" s="4">
        <v>0</v>
      </c>
      <c r="AB33" s="1">
        <v>0</v>
      </c>
      <c r="AC33" s="4">
        <v>0</v>
      </c>
      <c r="AD33" s="1">
        <v>0</v>
      </c>
      <c r="AE33" s="4">
        <v>0</v>
      </c>
      <c r="AF33" s="30">
        <v>221</v>
      </c>
      <c r="AG33" s="23">
        <f t="shared" si="12"/>
        <v>6.0503669780278599</v>
      </c>
      <c r="AH33" s="23">
        <f t="shared" si="13"/>
        <v>0.43577998257054562</v>
      </c>
      <c r="AI33" s="4">
        <f t="shared" si="16"/>
        <v>2.2735030294463412E-2</v>
      </c>
      <c r="AK33" s="26">
        <f t="shared" si="15"/>
        <v>0.12322766027706548</v>
      </c>
      <c r="AL33" s="26"/>
    </row>
    <row r="34" spans="1:38" ht="15.75" customHeight="1" x14ac:dyDescent="0.2">
      <c r="A34" s="1" t="s">
        <v>85</v>
      </c>
      <c r="B34" s="1">
        <v>1395020</v>
      </c>
      <c r="C34" s="1">
        <v>1412895</v>
      </c>
      <c r="D34" s="1">
        <v>127</v>
      </c>
      <c r="E34" s="1">
        <v>136</v>
      </c>
      <c r="F34" s="23">
        <f t="shared" si="0"/>
        <v>9.103812131725709</v>
      </c>
      <c r="G34" s="23">
        <f t="shared" si="21"/>
        <v>9.6256268158638818</v>
      </c>
      <c r="H34" s="24">
        <f t="shared" si="22"/>
        <v>0.14225609341600073</v>
      </c>
      <c r="I34" s="25">
        <f t="shared" si="23"/>
        <v>9.957926539120053E-3</v>
      </c>
      <c r="J34" s="51">
        <f t="shared" si="24"/>
        <v>5.7318261469797946E-2</v>
      </c>
      <c r="K34" s="29">
        <f t="shared" si="25"/>
        <v>0.45572542120991116</v>
      </c>
      <c r="L34" s="26">
        <f t="shared" si="26"/>
        <v>1.3671762636297335E-2</v>
      </c>
      <c r="M34" s="28">
        <v>259718214</v>
      </c>
      <c r="N34" s="28">
        <v>283901925</v>
      </c>
      <c r="O34" s="29">
        <f t="shared" si="7"/>
        <v>0</v>
      </c>
      <c r="P34" s="26">
        <f t="shared" si="19"/>
        <v>0</v>
      </c>
      <c r="Q34" s="23">
        <f t="shared" si="9"/>
        <v>9.311519060422925E-2</v>
      </c>
      <c r="R34" s="23">
        <f t="shared" si="10"/>
        <v>0.48288105298936035</v>
      </c>
      <c r="S34" s="26">
        <f t="shared" si="20"/>
        <v>1.448643158968081E-2</v>
      </c>
      <c r="T34" s="30">
        <v>0</v>
      </c>
      <c r="U34" s="4">
        <v>0</v>
      </c>
      <c r="V34" s="1">
        <v>0</v>
      </c>
      <c r="W34" s="4">
        <v>0</v>
      </c>
      <c r="X34" s="1">
        <v>1</v>
      </c>
      <c r="Y34" s="4">
        <v>0.01</v>
      </c>
      <c r="Z34" s="1">
        <v>0</v>
      </c>
      <c r="AA34" s="4">
        <v>0</v>
      </c>
      <c r="AB34" s="1">
        <v>1</v>
      </c>
      <c r="AC34" s="4">
        <v>0.01</v>
      </c>
      <c r="AD34" s="1">
        <v>0</v>
      </c>
      <c r="AE34" s="4">
        <v>0</v>
      </c>
      <c r="AF34" s="30">
        <v>38</v>
      </c>
      <c r="AG34" s="23">
        <f t="shared" si="12"/>
        <v>2.7239752835084801</v>
      </c>
      <c r="AH34" s="23">
        <f t="shared" si="13"/>
        <v>0.18133340818310228</v>
      </c>
      <c r="AI34" s="4">
        <f t="shared" si="16"/>
        <v>1.0235686664434538E-2</v>
      </c>
      <c r="AK34" s="26">
        <f t="shared" si="15"/>
        <v>6.8351807429532743E-2</v>
      </c>
      <c r="AL34" s="26"/>
    </row>
    <row r="35" spans="1:38" ht="15.75" customHeight="1" x14ac:dyDescent="0.2">
      <c r="A35" s="1" t="s">
        <v>86</v>
      </c>
      <c r="B35" s="1">
        <v>8133233</v>
      </c>
      <c r="C35" s="1">
        <v>8131584</v>
      </c>
      <c r="D35" s="1">
        <v>422</v>
      </c>
      <c r="E35" s="1">
        <v>421</v>
      </c>
      <c r="F35" s="23">
        <f t="shared" si="0"/>
        <v>5.1885885969331014</v>
      </c>
      <c r="G35" s="23">
        <f t="shared" si="21"/>
        <v>5.1773430613272895</v>
      </c>
      <c r="H35" s="24">
        <f t="shared" si="22"/>
        <v>0</v>
      </c>
      <c r="I35" s="25">
        <f t="shared" si="23"/>
        <v>0</v>
      </c>
      <c r="J35" s="52">
        <f t="shared" si="24"/>
        <v>-2.1673592723190551E-3</v>
      </c>
      <c r="K35" s="29">
        <f t="shared" si="25"/>
        <v>0.41471894431132988</v>
      </c>
      <c r="L35" s="26">
        <f t="shared" si="26"/>
        <v>1.2441568329339896E-2</v>
      </c>
      <c r="M35" s="28">
        <v>1584810097.7</v>
      </c>
      <c r="N35" s="28">
        <v>1699263443</v>
      </c>
      <c r="O35" s="29">
        <f t="shared" si="7"/>
        <v>0.17510222840116513</v>
      </c>
      <c r="P35" s="26">
        <f t="shared" si="19"/>
        <v>1.225715598808156E-2</v>
      </c>
      <c r="Q35" s="23">
        <f t="shared" si="9"/>
        <v>7.2218965203530425E-2</v>
      </c>
      <c r="R35" s="23">
        <f t="shared" si="10"/>
        <v>0.41347642640907983</v>
      </c>
      <c r="S35" s="26">
        <f t="shared" si="20"/>
        <v>1.2404292792272394E-2</v>
      </c>
      <c r="T35" s="30">
        <v>1</v>
      </c>
      <c r="U35" s="4">
        <v>0.05</v>
      </c>
      <c r="V35" s="1">
        <v>0</v>
      </c>
      <c r="W35" s="4">
        <v>0</v>
      </c>
      <c r="X35" s="1">
        <v>0</v>
      </c>
      <c r="Y35" s="4">
        <v>0</v>
      </c>
      <c r="Z35" s="1">
        <v>0</v>
      </c>
      <c r="AA35" s="4">
        <v>0</v>
      </c>
      <c r="AB35" s="1">
        <v>0</v>
      </c>
      <c r="AC35" s="4">
        <v>0</v>
      </c>
      <c r="AD35" s="1">
        <v>0</v>
      </c>
      <c r="AE35" s="4">
        <v>0</v>
      </c>
      <c r="AF35" s="30">
        <v>220</v>
      </c>
      <c r="AG35" s="23">
        <f t="shared" si="12"/>
        <v>2.7049514012447449</v>
      </c>
      <c r="AH35" s="23">
        <f t="shared" si="13"/>
        <v>0.17987820924139833</v>
      </c>
      <c r="AI35" s="4">
        <f t="shared" si="16"/>
        <v>1.0164201985710917E-2</v>
      </c>
      <c r="AK35" s="26">
        <f t="shared" si="15"/>
        <v>9.7267219095404769E-2</v>
      </c>
      <c r="AL35" s="26"/>
    </row>
    <row r="36" spans="1:38" ht="15.75" customHeight="1" x14ac:dyDescent="0.2">
      <c r="A36" s="1" t="s">
        <v>87</v>
      </c>
      <c r="B36" s="1">
        <v>2420401</v>
      </c>
      <c r="C36" s="1">
        <v>2452378</v>
      </c>
      <c r="D36" s="1">
        <v>501</v>
      </c>
      <c r="E36" s="1">
        <v>439</v>
      </c>
      <c r="F36" s="23">
        <f t="shared" si="0"/>
        <v>20.699049455028319</v>
      </c>
      <c r="G36" s="23">
        <f t="shared" si="21"/>
        <v>17.900992424495733</v>
      </c>
      <c r="H36" s="24">
        <f t="shared" si="22"/>
        <v>0.40690224641208617</v>
      </c>
      <c r="I36" s="25">
        <f t="shared" si="23"/>
        <v>2.8483157248846036E-2</v>
      </c>
      <c r="J36" s="52">
        <f t="shared" si="24"/>
        <v>-0.13517804460595015</v>
      </c>
      <c r="K36" s="29">
        <f t="shared" si="25"/>
        <v>0.3230278847350404</v>
      </c>
      <c r="L36" s="26">
        <f t="shared" si="26"/>
        <v>9.6908365420512125E-3</v>
      </c>
      <c r="M36" s="28">
        <v>484154183.39999998</v>
      </c>
      <c r="N36" s="28">
        <v>493125271</v>
      </c>
      <c r="O36" s="29">
        <f t="shared" si="7"/>
        <v>2.5884181286712077E-2</v>
      </c>
      <c r="P36" s="26">
        <f t="shared" si="19"/>
        <v>1.8118926900698455E-3</v>
      </c>
      <c r="Q36" s="23">
        <f t="shared" si="9"/>
        <v>1.8529402218524803E-2</v>
      </c>
      <c r="R36" s="23">
        <f t="shared" si="10"/>
        <v>0.23515215976386317</v>
      </c>
      <c r="S36" s="26">
        <f t="shared" si="20"/>
        <v>7.0545647929158945E-3</v>
      </c>
      <c r="T36" s="30">
        <v>1</v>
      </c>
      <c r="U36" s="4">
        <v>0.05</v>
      </c>
      <c r="V36" s="1">
        <v>0</v>
      </c>
      <c r="W36" s="4">
        <v>0</v>
      </c>
      <c r="X36" s="1">
        <v>1</v>
      </c>
      <c r="Y36" s="4">
        <v>0.01</v>
      </c>
      <c r="Z36" s="1">
        <v>1</v>
      </c>
      <c r="AA36" s="4">
        <v>0.01</v>
      </c>
      <c r="AB36" s="1">
        <v>2</v>
      </c>
      <c r="AC36" s="4">
        <v>0.01</v>
      </c>
      <c r="AD36" s="1">
        <v>2</v>
      </c>
      <c r="AE36" s="4">
        <v>0.01</v>
      </c>
      <c r="AF36" s="30">
        <v>34</v>
      </c>
      <c r="AG36" s="23">
        <f t="shared" si="12"/>
        <v>1.4047259111196864</v>
      </c>
      <c r="AH36" s="23">
        <f t="shared" si="13"/>
        <v>8.041971118218004E-2</v>
      </c>
      <c r="AI36" s="4">
        <f t="shared" si="16"/>
        <v>5.278437863472144E-3</v>
      </c>
      <c r="AK36" s="26">
        <f t="shared" si="15"/>
        <v>0.14231888913735513</v>
      </c>
      <c r="AL36" s="26"/>
    </row>
    <row r="37" spans="1:38" ht="15.75" customHeight="1" x14ac:dyDescent="0.2">
      <c r="A37" s="1" t="s">
        <v>88</v>
      </c>
      <c r="B37" s="1">
        <v>1667567</v>
      </c>
      <c r="C37" s="1">
        <v>1683013</v>
      </c>
      <c r="D37" s="1">
        <v>236</v>
      </c>
      <c r="E37" s="1">
        <v>235</v>
      </c>
      <c r="F37" s="23">
        <f t="shared" si="0"/>
        <v>14.152354897884164</v>
      </c>
      <c r="G37" s="23">
        <f t="shared" si="21"/>
        <v>13.963053167147255</v>
      </c>
      <c r="H37" s="24">
        <f t="shared" si="22"/>
        <v>0.28096696760066037</v>
      </c>
      <c r="I37" s="25">
        <f t="shared" si="23"/>
        <v>1.9667687732046229E-2</v>
      </c>
      <c r="J37" s="52">
        <f t="shared" si="24"/>
        <v>-1.3375988102532037E-2</v>
      </c>
      <c r="K37" s="29">
        <f t="shared" si="25"/>
        <v>0.40699226392274523</v>
      </c>
      <c r="L37" s="26">
        <f t="shared" si="26"/>
        <v>1.2209767917682357E-2</v>
      </c>
      <c r="M37" s="28">
        <v>708723435</v>
      </c>
      <c r="N37" s="28">
        <v>756083554</v>
      </c>
      <c r="O37" s="29">
        <f t="shared" si="7"/>
        <v>5.8416209849215507E-2</v>
      </c>
      <c r="P37" s="26">
        <f t="shared" si="19"/>
        <v>4.0891346894450856E-3</v>
      </c>
      <c r="Q37" s="23">
        <f t="shared" si="9"/>
        <v>6.6824542072606921E-2</v>
      </c>
      <c r="R37" s="23">
        <f t="shared" si="10"/>
        <v>0.39555941432491404</v>
      </c>
      <c r="S37" s="26">
        <f t="shared" si="20"/>
        <v>1.1866782429747421E-2</v>
      </c>
      <c r="T37" s="30">
        <v>1</v>
      </c>
      <c r="U37" s="4">
        <v>0.05</v>
      </c>
      <c r="V37" s="1">
        <v>0</v>
      </c>
      <c r="W37" s="4">
        <v>0</v>
      </c>
      <c r="X37" s="1">
        <v>1</v>
      </c>
      <c r="Y37" s="4">
        <v>0.01</v>
      </c>
      <c r="Z37" s="1">
        <v>0</v>
      </c>
      <c r="AA37" s="4">
        <v>0</v>
      </c>
      <c r="AB37" s="1">
        <v>1</v>
      </c>
      <c r="AC37" s="4">
        <v>0.01</v>
      </c>
      <c r="AD37" s="1">
        <v>1</v>
      </c>
      <c r="AE37" s="4">
        <v>0.01</v>
      </c>
      <c r="AF37" s="30">
        <v>74</v>
      </c>
      <c r="AG37" s="23">
        <f t="shared" si="12"/>
        <v>4.4376028069636781</v>
      </c>
      <c r="AH37" s="23">
        <f t="shared" si="13"/>
        <v>0.31241437914560749</v>
      </c>
      <c r="AI37" s="4">
        <f t="shared" si="16"/>
        <v>1.6674861974074879E-2</v>
      </c>
      <c r="AK37" s="26">
        <f t="shared" si="15"/>
        <v>0.14450823474299598</v>
      </c>
      <c r="AL37" s="26"/>
    </row>
    <row r="38" spans="1:38" ht="15.75" customHeight="1" x14ac:dyDescent="0.2">
      <c r="A38" s="35" t="s">
        <v>124</v>
      </c>
      <c r="B38" s="57">
        <f t="shared" ref="B38:E38" si="27">SUM(B3:B37)</f>
        <v>129960600</v>
      </c>
      <c r="C38" s="57">
        <f t="shared" si="27"/>
        <v>131135337</v>
      </c>
      <c r="D38" s="57">
        <f t="shared" si="27"/>
        <v>14969</v>
      </c>
      <c r="E38" s="57">
        <f t="shared" si="27"/>
        <v>15846</v>
      </c>
      <c r="F38" s="37">
        <f t="shared" si="0"/>
        <v>11.518106256819374</v>
      </c>
      <c r="G38" s="37">
        <f t="shared" si="21"/>
        <v>12.083699453184003</v>
      </c>
      <c r="H38" s="36"/>
      <c r="I38" s="36"/>
      <c r="J38" s="58">
        <f t="shared" si="24"/>
        <v>4.9104703824881447E-2</v>
      </c>
      <c r="K38" s="36"/>
      <c r="L38" s="36"/>
      <c r="M38" s="42">
        <f t="shared" ref="M38:N38" si="28">SUM(M3:M37)</f>
        <v>50170441890.68</v>
      </c>
      <c r="N38" s="42">
        <f t="shared" si="28"/>
        <v>55420584960</v>
      </c>
      <c r="O38" s="59"/>
      <c r="P38" s="42"/>
      <c r="Q38" s="37">
        <f t="shared" si="9"/>
        <v>0.1046461396684509</v>
      </c>
      <c r="R38" s="37">
        <f t="shared" si="10"/>
        <v>0.52117989397964637</v>
      </c>
      <c r="S38" s="60">
        <f>(Q38*S$20)/Q$20</f>
        <v>1.2617673993557963E-2</v>
      </c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57"/>
      <c r="AG38" s="37"/>
      <c r="AH38" s="37"/>
      <c r="AI38" s="36"/>
      <c r="AJ38" s="36"/>
      <c r="AK38" s="36"/>
      <c r="AL38" s="36"/>
    </row>
    <row r="39" spans="1:38" ht="15.75" customHeight="1" x14ac:dyDescent="0.2"/>
    <row r="40" spans="1:38" ht="15.75" customHeight="1" x14ac:dyDescent="0.2"/>
    <row r="41" spans="1:38" ht="15.75" customHeight="1" x14ac:dyDescent="0.2"/>
    <row r="42" spans="1:38" ht="15.75" customHeight="1" x14ac:dyDescent="0.2"/>
    <row r="43" spans="1:38" ht="15.75" customHeight="1" x14ac:dyDescent="0.2"/>
    <row r="44" spans="1:38" ht="15.75" customHeight="1" x14ac:dyDescent="0.2"/>
    <row r="45" spans="1:38" ht="15.75" customHeight="1" x14ac:dyDescent="0.2"/>
    <row r="46" spans="1:38" ht="15.75" customHeight="1" x14ac:dyDescent="0.2"/>
    <row r="47" spans="1:38" ht="15.75" customHeight="1" x14ac:dyDescent="0.2"/>
    <row r="48" spans="1:3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AK38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0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ColWidth="12.6640625" defaultRowHeight="15" customHeight="1" x14ac:dyDescent="0.2"/>
  <cols>
    <col min="1" max="1" width="10.6640625" customWidth="1"/>
    <col min="2" max="3" width="17.33203125" customWidth="1"/>
    <col min="4" max="5" width="28.6640625" customWidth="1"/>
    <col min="6" max="11" width="20.1640625" customWidth="1"/>
    <col min="12" max="13" width="17.33203125" customWidth="1"/>
    <col min="14" max="18" width="24.33203125" customWidth="1"/>
    <col min="19" max="19" width="17.33203125" customWidth="1"/>
    <col min="20" max="33" width="10.6640625" customWidth="1"/>
  </cols>
  <sheetData>
    <row r="1" spans="1:21" x14ac:dyDescent="0.2">
      <c r="A1" s="1" t="s">
        <v>125</v>
      </c>
      <c r="D1" s="6" t="s">
        <v>164</v>
      </c>
      <c r="E1" s="6" t="s">
        <v>164</v>
      </c>
      <c r="M1" s="1" t="s">
        <v>165</v>
      </c>
      <c r="N1" s="1" t="s">
        <v>166</v>
      </c>
    </row>
    <row r="2" spans="1:21" x14ac:dyDescent="0.2">
      <c r="G2" s="6" t="s">
        <v>97</v>
      </c>
      <c r="H2" s="14">
        <f>MAX(G6:G37)</f>
        <v>5.531445113083481</v>
      </c>
      <c r="I2" s="15"/>
      <c r="J2" s="6" t="s">
        <v>97</v>
      </c>
      <c r="K2" s="14">
        <f>MAX(J6:J37)</f>
        <v>0.53409546105648498</v>
      </c>
      <c r="L2" s="15"/>
      <c r="N2" s="6" t="s">
        <v>97</v>
      </c>
      <c r="O2" s="16">
        <f>MAX(N6:N37)</f>
        <v>1544687240</v>
      </c>
      <c r="Q2" s="6" t="s">
        <v>97</v>
      </c>
      <c r="R2" s="45">
        <f>MAX(Q6:Q37)</f>
        <v>5.0346130848906228</v>
      </c>
      <c r="S2" s="15"/>
    </row>
    <row r="3" spans="1:21" x14ac:dyDescent="0.2">
      <c r="G3" s="6" t="s">
        <v>98</v>
      </c>
      <c r="H3" s="14">
        <f>MIN(G6:G37)</f>
        <v>0</v>
      </c>
      <c r="I3" s="17">
        <v>7.0000000000000007E-2</v>
      </c>
      <c r="J3" s="6" t="s">
        <v>98</v>
      </c>
      <c r="K3" s="14">
        <f>MIN(J6:J37)</f>
        <v>-2.6330838256423723</v>
      </c>
      <c r="L3" s="17">
        <v>0.03</v>
      </c>
      <c r="M3" s="1" t="s">
        <v>99</v>
      </c>
      <c r="N3" s="6" t="s">
        <v>98</v>
      </c>
      <c r="O3" s="16">
        <f>MIN(N6:N37)</f>
        <v>112346</v>
      </c>
      <c r="P3" s="17">
        <v>7.0000000000000007E-2</v>
      </c>
      <c r="Q3" s="6" t="s">
        <v>98</v>
      </c>
      <c r="R3" s="5">
        <f>MIN(Q6:Q37)</f>
        <v>0</v>
      </c>
      <c r="S3" s="17">
        <v>0.03</v>
      </c>
      <c r="U3" s="49">
        <f>I3+L3+P3+S3</f>
        <v>0.2</v>
      </c>
    </row>
    <row r="4" spans="1:21" x14ac:dyDescent="0.2">
      <c r="A4" s="3" t="s">
        <v>15</v>
      </c>
      <c r="B4" s="6" t="s">
        <v>100</v>
      </c>
      <c r="C4" s="6" t="s">
        <v>101</v>
      </c>
      <c r="D4" s="1" t="s">
        <v>167</v>
      </c>
      <c r="E4" s="1" t="s">
        <v>168</v>
      </c>
      <c r="F4" s="1" t="s">
        <v>104</v>
      </c>
      <c r="G4" s="1" t="s">
        <v>105</v>
      </c>
      <c r="H4" s="6" t="s">
        <v>169</v>
      </c>
      <c r="I4" s="2" t="s">
        <v>107</v>
      </c>
      <c r="J4" s="6" t="s">
        <v>170</v>
      </c>
      <c r="K4" s="6" t="s">
        <v>171</v>
      </c>
      <c r="L4" s="3" t="s">
        <v>172</v>
      </c>
      <c r="M4" s="1" t="s">
        <v>111</v>
      </c>
      <c r="N4" s="1" t="s">
        <v>112</v>
      </c>
      <c r="O4" s="6" t="s">
        <v>173</v>
      </c>
      <c r="P4" s="2" t="s">
        <v>174</v>
      </c>
      <c r="Q4" s="1" t="s">
        <v>175</v>
      </c>
      <c r="S4" s="3" t="s">
        <v>176</v>
      </c>
      <c r="U4" s="3" t="s">
        <v>177</v>
      </c>
    </row>
    <row r="5" spans="1:21" x14ac:dyDescent="0.2">
      <c r="A5" s="1" t="s">
        <v>24</v>
      </c>
      <c r="B5" s="8"/>
      <c r="C5" s="8"/>
      <c r="D5" s="8"/>
      <c r="E5" s="8"/>
      <c r="F5" s="22"/>
      <c r="G5" s="8"/>
      <c r="H5" s="8"/>
      <c r="I5" s="22"/>
      <c r="J5" s="22"/>
      <c r="K5" s="22"/>
      <c r="L5" s="9"/>
      <c r="M5" s="20"/>
      <c r="N5" s="20"/>
      <c r="O5" s="20"/>
      <c r="P5" s="20"/>
      <c r="Q5" s="21"/>
      <c r="R5" s="21"/>
      <c r="S5" s="8"/>
    </row>
    <row r="6" spans="1:21" x14ac:dyDescent="0.2">
      <c r="A6" s="1" t="s">
        <v>27</v>
      </c>
      <c r="B6" s="1">
        <v>1491126</v>
      </c>
      <c r="C6" s="1">
        <v>1510839</v>
      </c>
      <c r="D6" s="6">
        <v>33</v>
      </c>
      <c r="E6" s="1">
        <v>32</v>
      </c>
      <c r="F6" s="23">
        <f t="shared" ref="F6:F38" si="0">D6/B6*100000</f>
        <v>2.213092656153806</v>
      </c>
      <c r="G6" s="23">
        <f t="shared" ref="G6:G38" si="1">E6/C6*100000</f>
        <v>2.1180284596836594</v>
      </c>
      <c r="H6" s="23">
        <f t="shared" ref="H6:H38" si="2">(G6-$H$3)/($H$2-$H$3)</f>
        <v>0.38290689257205218</v>
      </c>
      <c r="I6" s="61">
        <f t="shared" ref="I6:I7" si="3">(G6*I$8)/G$8</f>
        <v>2.6803482480043658E-2</v>
      </c>
      <c r="J6" s="23">
        <f t="shared" ref="J6:J32" si="4">((G6-F6)/G6)</f>
        <v>-4.4883342353362457E-2</v>
      </c>
      <c r="K6" s="23">
        <f t="shared" ref="K6:K32" si="5">(J6-$K$3)/($K$2-$K$3)</f>
        <v>0.8171941810047274</v>
      </c>
      <c r="L6" s="26">
        <f t="shared" ref="L6:L22" si="6">(K6*$L$23)/$K$23</f>
        <v>2.451582543014182E-2</v>
      </c>
      <c r="M6" s="28" t="s">
        <v>178</v>
      </c>
      <c r="N6" s="28">
        <v>32359757</v>
      </c>
      <c r="O6" s="29">
        <f t="shared" ref="O6:O9" si="7">(N6-$O$3)/($O$2-$O$3)</f>
        <v>2.087785521133817E-2</v>
      </c>
      <c r="P6" s="25">
        <f t="shared" ref="P6:P9" si="8">(O6*$P$14)/$O$14</f>
        <v>1.4614498647936721E-3</v>
      </c>
      <c r="Q6" s="1" t="s">
        <v>123</v>
      </c>
      <c r="R6" s="14" t="s">
        <v>123</v>
      </c>
      <c r="S6" s="11">
        <v>0</v>
      </c>
      <c r="U6" s="26">
        <f t="shared" ref="U6:U37" si="9">I6+L6+P6+S6</f>
        <v>5.2780757774979148E-2</v>
      </c>
    </row>
    <row r="7" spans="1:21" x14ac:dyDescent="0.2">
      <c r="A7" s="1" t="s">
        <v>31</v>
      </c>
      <c r="B7" s="1">
        <v>3948201</v>
      </c>
      <c r="C7" s="1">
        <v>4010510</v>
      </c>
      <c r="D7" s="6">
        <v>118</v>
      </c>
      <c r="E7" s="1">
        <v>155</v>
      </c>
      <c r="F7" s="23">
        <f t="shared" si="0"/>
        <v>2.9887029561058314</v>
      </c>
      <c r="G7" s="23">
        <f t="shared" si="1"/>
        <v>3.8648451194486491</v>
      </c>
      <c r="H7" s="23">
        <f t="shared" si="2"/>
        <v>0.69870441456739096</v>
      </c>
      <c r="I7" s="61">
        <f t="shared" si="3"/>
        <v>4.8909309019717372E-2</v>
      </c>
      <c r="J7" s="23">
        <f t="shared" si="4"/>
        <v>0.22669528435535505</v>
      </c>
      <c r="K7" s="23">
        <f t="shared" si="5"/>
        <v>0.9029419717437176</v>
      </c>
      <c r="L7" s="26">
        <f t="shared" si="6"/>
        <v>2.7088259152311528E-2</v>
      </c>
      <c r="M7" s="28" t="s">
        <v>178</v>
      </c>
      <c r="N7" s="28">
        <v>130126491</v>
      </c>
      <c r="O7" s="29">
        <f t="shared" si="7"/>
        <v>8.4174710792625382E-2</v>
      </c>
      <c r="P7" s="25">
        <f t="shared" si="8"/>
        <v>5.8922297554837777E-3</v>
      </c>
      <c r="Q7" s="1" t="s">
        <v>123</v>
      </c>
      <c r="R7" s="14" t="s">
        <v>123</v>
      </c>
      <c r="S7" s="11">
        <v>0</v>
      </c>
      <c r="U7" s="26">
        <f t="shared" si="9"/>
        <v>8.1889797927512678E-2</v>
      </c>
    </row>
    <row r="8" spans="1:21" x14ac:dyDescent="0.2">
      <c r="A8" s="1" t="s">
        <v>34</v>
      </c>
      <c r="B8" s="1">
        <v>849224</v>
      </c>
      <c r="C8" s="1">
        <v>867766</v>
      </c>
      <c r="D8" s="1">
        <v>35</v>
      </c>
      <c r="E8" s="1">
        <v>48</v>
      </c>
      <c r="F8" s="23">
        <f t="shared" si="0"/>
        <v>4.1214096634103612</v>
      </c>
      <c r="G8" s="23">
        <f t="shared" si="1"/>
        <v>5.531445113083481</v>
      </c>
      <c r="H8" s="23">
        <f t="shared" si="2"/>
        <v>1</v>
      </c>
      <c r="I8" s="61">
        <v>7.0000000000000007E-2</v>
      </c>
      <c r="J8" s="23">
        <f t="shared" si="4"/>
        <v>0.25491267125438427</v>
      </c>
      <c r="K8" s="23">
        <f t="shared" si="5"/>
        <v>0.9118512832618666</v>
      </c>
      <c r="L8" s="26">
        <f t="shared" si="6"/>
        <v>2.7355538497855998E-2</v>
      </c>
      <c r="M8" s="28" t="s">
        <v>178</v>
      </c>
      <c r="N8" s="28">
        <v>49798605</v>
      </c>
      <c r="O8" s="29">
        <f t="shared" si="7"/>
        <v>3.2168242014686016E-2</v>
      </c>
      <c r="P8" s="25">
        <f t="shared" si="8"/>
        <v>2.2517769410280212E-3</v>
      </c>
      <c r="Q8" s="1" t="s">
        <v>123</v>
      </c>
      <c r="R8" s="14" t="s">
        <v>123</v>
      </c>
      <c r="S8" s="11">
        <v>0</v>
      </c>
      <c r="U8" s="26">
        <f t="shared" si="9"/>
        <v>9.9607315438884014E-2</v>
      </c>
    </row>
    <row r="9" spans="1:21" x14ac:dyDescent="0.2">
      <c r="A9" s="1" t="s">
        <v>39</v>
      </c>
      <c r="B9" s="1">
        <v>945445</v>
      </c>
      <c r="C9" s="1">
        <v>950291</v>
      </c>
      <c r="D9" s="6">
        <v>32</v>
      </c>
      <c r="E9" s="1">
        <v>32</v>
      </c>
      <c r="F9" s="23">
        <f t="shared" si="0"/>
        <v>3.3846495565580232</v>
      </c>
      <c r="G9" s="23">
        <f t="shared" si="1"/>
        <v>3.3673895680375803</v>
      </c>
      <c r="H9" s="23">
        <f t="shared" si="2"/>
        <v>0.6087721199786873</v>
      </c>
      <c r="I9" s="61">
        <f t="shared" ref="I9:I37" si="10">(G9*I$8)/G$8</f>
        <v>4.261404839850811E-2</v>
      </c>
      <c r="J9" s="23">
        <f t="shared" si="4"/>
        <v>-5.1256286722125843E-3</v>
      </c>
      <c r="K9" s="23">
        <f t="shared" si="5"/>
        <v>0.82974721639748839</v>
      </c>
      <c r="L9" s="26">
        <f t="shared" si="6"/>
        <v>2.4892416491924651E-2</v>
      </c>
      <c r="M9" s="28" t="s">
        <v>178</v>
      </c>
      <c r="N9" s="28">
        <v>36002014</v>
      </c>
      <c r="O9" s="29">
        <f t="shared" si="7"/>
        <v>2.3235951936947642E-2</v>
      </c>
      <c r="P9" s="25">
        <f t="shared" si="8"/>
        <v>1.626516635586335E-3</v>
      </c>
      <c r="Q9" s="1" t="s">
        <v>123</v>
      </c>
      <c r="R9" s="14" t="s">
        <v>123</v>
      </c>
      <c r="S9" s="11">
        <v>0</v>
      </c>
      <c r="U9" s="26">
        <f t="shared" si="9"/>
        <v>6.9132981526019099E-2</v>
      </c>
    </row>
    <row r="10" spans="1:21" x14ac:dyDescent="0.2">
      <c r="A10" s="1" t="s">
        <v>40</v>
      </c>
      <c r="B10" s="1">
        <v>3273658</v>
      </c>
      <c r="C10" s="1">
        <v>3316738</v>
      </c>
      <c r="D10" s="1">
        <v>56</v>
      </c>
      <c r="E10" s="1">
        <v>62</v>
      </c>
      <c r="F10" s="23">
        <f t="shared" si="0"/>
        <v>1.7106246284737134</v>
      </c>
      <c r="G10" s="23">
        <f t="shared" si="1"/>
        <v>1.8693065294877076</v>
      </c>
      <c r="H10" s="23">
        <f t="shared" si="2"/>
        <v>0.33794180205571461</v>
      </c>
      <c r="I10" s="61">
        <f t="shared" si="10"/>
        <v>2.3655926143900021E-2</v>
      </c>
      <c r="J10" s="23">
        <f t="shared" si="4"/>
        <v>8.4888111452476281E-2</v>
      </c>
      <c r="K10" s="23">
        <f t="shared" si="5"/>
        <v>0.85816800725789777</v>
      </c>
      <c r="L10" s="26">
        <f t="shared" si="6"/>
        <v>2.5745040217736933E-2</v>
      </c>
      <c r="M10" s="28">
        <v>67117357</v>
      </c>
      <c r="N10" s="54" t="s">
        <v>123</v>
      </c>
      <c r="O10" s="33" t="s">
        <v>123</v>
      </c>
      <c r="P10" s="34">
        <v>0</v>
      </c>
      <c r="Q10" s="1" t="s">
        <v>123</v>
      </c>
      <c r="R10" s="14" t="s">
        <v>123</v>
      </c>
      <c r="S10" s="11">
        <v>0</v>
      </c>
      <c r="U10" s="26">
        <f t="shared" si="9"/>
        <v>4.9400966361636954E-2</v>
      </c>
    </row>
    <row r="11" spans="1:21" x14ac:dyDescent="0.2">
      <c r="A11" s="1" t="s">
        <v>44</v>
      </c>
      <c r="B11" s="1">
        <v>752247</v>
      </c>
      <c r="C11" s="1">
        <v>757405</v>
      </c>
      <c r="D11" s="6">
        <v>16</v>
      </c>
      <c r="E11" s="1">
        <v>19</v>
      </c>
      <c r="F11" s="23">
        <f t="shared" si="0"/>
        <v>2.1269609583022597</v>
      </c>
      <c r="G11" s="23">
        <f t="shared" si="1"/>
        <v>2.5085654306480683</v>
      </c>
      <c r="H11" s="23">
        <f t="shared" si="2"/>
        <v>0.45350995614411493</v>
      </c>
      <c r="I11" s="61">
        <f t="shared" si="10"/>
        <v>3.1745696930088045E-2</v>
      </c>
      <c r="J11" s="23">
        <f t="shared" si="4"/>
        <v>0.15212059756688268</v>
      </c>
      <c r="K11" s="23">
        <f t="shared" si="5"/>
        <v>0.87939588229382049</v>
      </c>
      <c r="L11" s="26">
        <f t="shared" si="6"/>
        <v>2.6381876468814614E-2</v>
      </c>
      <c r="M11" s="28" t="s">
        <v>178</v>
      </c>
      <c r="N11" s="28">
        <v>17804964</v>
      </c>
      <c r="O11" s="29">
        <f t="shared" ref="O11:O27" si="11">(N11-$O$3)/($O$2-$O$3)</f>
        <v>1.1454684436946442E-2</v>
      </c>
      <c r="P11" s="25">
        <f t="shared" ref="P11:P13" si="12">(O11*$P$14)/$O$14</f>
        <v>8.0182791058625101E-4</v>
      </c>
      <c r="Q11" s="1" t="s">
        <v>123</v>
      </c>
      <c r="R11" s="14" t="s">
        <v>123</v>
      </c>
      <c r="S11" s="11">
        <v>0</v>
      </c>
      <c r="U11" s="26">
        <f t="shared" si="9"/>
        <v>5.8929401309488913E-2</v>
      </c>
    </row>
    <row r="12" spans="1:21" x14ac:dyDescent="0.2">
      <c r="A12" s="1" t="s">
        <v>45</v>
      </c>
      <c r="B12" s="1">
        <v>5862882</v>
      </c>
      <c r="C12" s="1">
        <v>5946352</v>
      </c>
      <c r="D12" s="1">
        <v>46</v>
      </c>
      <c r="E12" s="1">
        <v>48</v>
      </c>
      <c r="F12" s="23">
        <f t="shared" si="0"/>
        <v>0.7845970633555307</v>
      </c>
      <c r="G12" s="23">
        <f t="shared" si="1"/>
        <v>0.80721760164887646</v>
      </c>
      <c r="H12" s="23">
        <f t="shared" si="2"/>
        <v>0.14593249777342479</v>
      </c>
      <c r="I12" s="61">
        <f t="shared" si="10"/>
        <v>1.0215274844139735E-2</v>
      </c>
      <c r="J12" s="23">
        <f t="shared" si="4"/>
        <v>2.8022850650356906E-2</v>
      </c>
      <c r="K12" s="23">
        <f t="shared" si="5"/>
        <v>0.84021346296009458</v>
      </c>
      <c r="L12" s="26">
        <f t="shared" si="6"/>
        <v>2.5206403888802836E-2</v>
      </c>
      <c r="M12" s="28">
        <v>59088433</v>
      </c>
      <c r="N12" s="28">
        <v>63572924</v>
      </c>
      <c r="O12" s="29">
        <f t="shared" si="11"/>
        <v>4.108611259092497E-2</v>
      </c>
      <c r="P12" s="25">
        <f t="shared" si="12"/>
        <v>2.8760278813647483E-3</v>
      </c>
      <c r="Q12" s="23">
        <f t="shared" ref="Q12:Q13" si="13">(N12-M12)/M12</f>
        <v>7.5894566369698782E-2</v>
      </c>
      <c r="R12" s="23">
        <f t="shared" ref="R12:R13" si="14">(Q12-$R$3)/($R$2-$R$3)</f>
        <v>1.5074557883597047E-2</v>
      </c>
      <c r="S12" s="26">
        <f t="shared" ref="S12:S13" si="15">(R12*$S$35)/$R$35</f>
        <v>4.5223673650791137E-4</v>
      </c>
      <c r="U12" s="26">
        <f t="shared" si="9"/>
        <v>3.8749943350815233E-2</v>
      </c>
    </row>
    <row r="13" spans="1:21" x14ac:dyDescent="0.2">
      <c r="A13" s="1" t="s">
        <v>47</v>
      </c>
      <c r="B13" s="1">
        <v>3898274</v>
      </c>
      <c r="C13" s="1">
        <v>3947936</v>
      </c>
      <c r="D13" s="1">
        <v>130</v>
      </c>
      <c r="E13" s="1">
        <v>132</v>
      </c>
      <c r="F13" s="23">
        <f t="shared" si="0"/>
        <v>3.3348092001742313</v>
      </c>
      <c r="G13" s="23">
        <f t="shared" si="1"/>
        <v>3.3435192465126078</v>
      </c>
      <c r="H13" s="23">
        <f t="shared" si="2"/>
        <v>0.60445673384776244</v>
      </c>
      <c r="I13" s="61">
        <f t="shared" si="10"/>
        <v>4.2311971369343379E-2</v>
      </c>
      <c r="J13" s="23">
        <f t="shared" si="4"/>
        <v>2.6050534470412599E-3</v>
      </c>
      <c r="K13" s="23">
        <f t="shared" si="5"/>
        <v>0.83218808930661614</v>
      </c>
      <c r="L13" s="26">
        <f t="shared" si="6"/>
        <v>2.4965642679198482E-2</v>
      </c>
      <c r="M13" s="28">
        <v>134257054</v>
      </c>
      <c r="N13" s="28">
        <v>156027324</v>
      </c>
      <c r="O13" s="29">
        <f t="shared" si="11"/>
        <v>0.10094361795317386</v>
      </c>
      <c r="P13" s="25">
        <f t="shared" si="12"/>
        <v>7.0660532567221705E-3</v>
      </c>
      <c r="Q13" s="23">
        <f t="shared" si="13"/>
        <v>0.16215363998676746</v>
      </c>
      <c r="R13" s="23">
        <f t="shared" si="14"/>
        <v>3.2207765969823332E-2</v>
      </c>
      <c r="S13" s="26">
        <f t="shared" si="15"/>
        <v>9.6623297909469988E-4</v>
      </c>
      <c r="U13" s="26">
        <f t="shared" si="9"/>
        <v>7.5309900284358744E-2</v>
      </c>
    </row>
    <row r="14" spans="1:21" x14ac:dyDescent="0.2">
      <c r="A14" s="1" t="s">
        <v>51</v>
      </c>
      <c r="B14" s="1">
        <v>9237644</v>
      </c>
      <c r="C14" s="1">
        <v>9221637</v>
      </c>
      <c r="D14" s="6">
        <v>400</v>
      </c>
      <c r="E14" s="1">
        <v>482</v>
      </c>
      <c r="F14" s="23">
        <f t="shared" si="0"/>
        <v>4.3301084129243348</v>
      </c>
      <c r="G14" s="23">
        <f t="shared" si="1"/>
        <v>5.2268377078820167</v>
      </c>
      <c r="H14" s="23">
        <f t="shared" si="2"/>
        <v>0.94493167717040549</v>
      </c>
      <c r="I14" s="61">
        <f t="shared" si="10"/>
        <v>6.6145217401928386E-2</v>
      </c>
      <c r="J14" s="23">
        <f t="shared" si="4"/>
        <v>0.17156249056775258</v>
      </c>
      <c r="K14" s="23">
        <f t="shared" si="5"/>
        <v>0.88553443374321894</v>
      </c>
      <c r="L14" s="26">
        <f t="shared" si="6"/>
        <v>2.6566033012296566E-2</v>
      </c>
      <c r="M14" s="28" t="s">
        <v>178</v>
      </c>
      <c r="N14" s="28">
        <v>1544687240</v>
      </c>
      <c r="O14" s="29">
        <f t="shared" si="11"/>
        <v>1</v>
      </c>
      <c r="P14" s="25">
        <v>7.0000000000000007E-2</v>
      </c>
      <c r="Q14" s="1" t="s">
        <v>123</v>
      </c>
      <c r="R14" s="14" t="s">
        <v>123</v>
      </c>
      <c r="S14" s="11">
        <v>0</v>
      </c>
      <c r="U14" s="26">
        <f t="shared" si="9"/>
        <v>0.16271125041422496</v>
      </c>
    </row>
    <row r="15" spans="1:21" x14ac:dyDescent="0.2">
      <c r="A15" s="1" t="s">
        <v>52</v>
      </c>
      <c r="B15" s="1">
        <v>1884286</v>
      </c>
      <c r="C15" s="1">
        <v>1899457</v>
      </c>
      <c r="D15" s="1">
        <v>53</v>
      </c>
      <c r="E15" s="1">
        <v>51</v>
      </c>
      <c r="F15" s="23">
        <f t="shared" si="0"/>
        <v>2.8127364954152396</v>
      </c>
      <c r="G15" s="23">
        <f t="shared" si="1"/>
        <v>2.6849778647266036</v>
      </c>
      <c r="H15" s="23">
        <f t="shared" si="2"/>
        <v>0.48540260453382206</v>
      </c>
      <c r="I15" s="61">
        <f t="shared" si="10"/>
        <v>3.3978182317367545E-2</v>
      </c>
      <c r="J15" s="23">
        <f t="shared" si="4"/>
        <v>-4.7582750072930294E-2</v>
      </c>
      <c r="K15" s="23">
        <f t="shared" si="5"/>
        <v>0.81634187443310258</v>
      </c>
      <c r="L15" s="26">
        <f t="shared" si="6"/>
        <v>2.4490256232993075E-2</v>
      </c>
      <c r="M15" s="28">
        <v>25550404</v>
      </c>
      <c r="N15" s="28">
        <v>28981240</v>
      </c>
      <c r="O15" s="29">
        <f t="shared" si="11"/>
        <v>1.8690510969809924E-2</v>
      </c>
      <c r="P15" s="25">
        <f t="shared" ref="P15:P27" si="16">(O15*$P$14)/$O$14</f>
        <v>1.3083357678866949E-3</v>
      </c>
      <c r="Q15" s="23">
        <f>(N15-M15)/M15</f>
        <v>0.13427717229050468</v>
      </c>
      <c r="R15" s="23">
        <f>(Q15-$R$3)/($R$2-$R$3)</f>
        <v>2.6670802706464949E-2</v>
      </c>
      <c r="S15" s="26">
        <f>(R15*$S$35)/$R$35</f>
        <v>8.0012408119394841E-4</v>
      </c>
      <c r="U15" s="26">
        <f t="shared" si="9"/>
        <v>6.0576898399441255E-2</v>
      </c>
    </row>
    <row r="16" spans="1:21" x14ac:dyDescent="0.2">
      <c r="A16" s="1" t="s">
        <v>55</v>
      </c>
      <c r="B16" s="1">
        <v>6360814</v>
      </c>
      <c r="C16" s="1">
        <v>6422483</v>
      </c>
      <c r="D16" s="1">
        <v>184</v>
      </c>
      <c r="E16" s="1">
        <v>185</v>
      </c>
      <c r="F16" s="23">
        <f t="shared" si="0"/>
        <v>2.8927115303167175</v>
      </c>
      <c r="G16" s="23">
        <f t="shared" si="1"/>
        <v>2.8805058728843655</v>
      </c>
      <c r="H16" s="23">
        <f t="shared" si="2"/>
        <v>0.52075105401861965</v>
      </c>
      <c r="I16" s="61">
        <f t="shared" si="10"/>
        <v>3.6452573781303378E-2</v>
      </c>
      <c r="J16" s="23">
        <f t="shared" si="4"/>
        <v>-4.2373312088164229E-3</v>
      </c>
      <c r="K16" s="23">
        <f t="shared" si="5"/>
        <v>0.83002768598350973</v>
      </c>
      <c r="L16" s="26">
        <f t="shared" si="6"/>
        <v>2.490083057950529E-2</v>
      </c>
      <c r="M16" s="28" t="s">
        <v>178</v>
      </c>
      <c r="N16" s="28">
        <v>416874065</v>
      </c>
      <c r="O16" s="29">
        <f t="shared" si="11"/>
        <v>0.26982292708429845</v>
      </c>
      <c r="P16" s="25">
        <f t="shared" si="16"/>
        <v>1.8887604895900894E-2</v>
      </c>
      <c r="Q16" s="1" t="s">
        <v>123</v>
      </c>
      <c r="R16" s="14" t="s">
        <v>123</v>
      </c>
      <c r="S16" s="11">
        <v>0</v>
      </c>
      <c r="U16" s="26">
        <f t="shared" si="9"/>
        <v>8.0241009256709558E-2</v>
      </c>
    </row>
    <row r="17" spans="1:21" x14ac:dyDescent="0.2">
      <c r="A17" s="1" t="s">
        <v>59</v>
      </c>
      <c r="B17" s="1">
        <v>3599951</v>
      </c>
      <c r="C17" s="1">
        <v>3604215</v>
      </c>
      <c r="D17" s="1">
        <v>67</v>
      </c>
      <c r="E17" s="1">
        <v>73</v>
      </c>
      <c r="F17" s="23">
        <f t="shared" si="0"/>
        <v>1.8611364432460329</v>
      </c>
      <c r="G17" s="23">
        <f t="shared" si="1"/>
        <v>2.0254063644926843</v>
      </c>
      <c r="H17" s="23">
        <f t="shared" si="2"/>
        <v>0.36616224568549138</v>
      </c>
      <c r="I17" s="61">
        <f t="shared" si="10"/>
        <v>2.5631357197984404E-2</v>
      </c>
      <c r="J17" s="23">
        <f t="shared" si="4"/>
        <v>8.110467317890406E-2</v>
      </c>
      <c r="K17" s="23">
        <f t="shared" si="5"/>
        <v>0.85697343065484233</v>
      </c>
      <c r="L17" s="26">
        <f t="shared" si="6"/>
        <v>2.570920291964527E-2</v>
      </c>
      <c r="M17" s="28">
        <v>1984609</v>
      </c>
      <c r="N17" s="28">
        <v>1984609</v>
      </c>
      <c r="O17" s="29">
        <f t="shared" si="11"/>
        <v>1.2121542356236174E-3</v>
      </c>
      <c r="P17" s="25">
        <f t="shared" si="16"/>
        <v>8.4850796493653221E-5</v>
      </c>
      <c r="Q17" s="23">
        <f>(N17-M17)/M17</f>
        <v>0</v>
      </c>
      <c r="R17" s="23">
        <f>(Q17-$R$3)/($R$2-$R$3)</f>
        <v>0</v>
      </c>
      <c r="S17" s="26">
        <f>(R17*$S$35)/$R$35</f>
        <v>0</v>
      </c>
      <c r="U17" s="26">
        <f t="shared" si="9"/>
        <v>5.142541091412333E-2</v>
      </c>
    </row>
    <row r="18" spans="1:21" x14ac:dyDescent="0.2">
      <c r="A18" s="1" t="s">
        <v>60</v>
      </c>
      <c r="B18" s="1">
        <v>3190331</v>
      </c>
      <c r="C18" s="1">
        <v>3227801</v>
      </c>
      <c r="D18" s="1">
        <v>79</v>
      </c>
      <c r="E18" s="1">
        <v>22</v>
      </c>
      <c r="F18" s="23">
        <f t="shared" si="0"/>
        <v>2.4762320900245145</v>
      </c>
      <c r="G18" s="23">
        <f t="shared" si="1"/>
        <v>0.68157857315243409</v>
      </c>
      <c r="H18" s="23">
        <f t="shared" si="2"/>
        <v>0.12321889835629066</v>
      </c>
      <c r="I18" s="61">
        <f t="shared" si="10"/>
        <v>8.6253228849403462E-3</v>
      </c>
      <c r="J18" s="23">
        <f t="shared" si="4"/>
        <v>-2.6330838256423723</v>
      </c>
      <c r="K18" s="23">
        <f t="shared" si="5"/>
        <v>0</v>
      </c>
      <c r="L18" s="26">
        <f t="shared" si="6"/>
        <v>0</v>
      </c>
      <c r="M18" s="28" t="s">
        <v>178</v>
      </c>
      <c r="N18" s="28">
        <v>112346</v>
      </c>
      <c r="O18" s="29">
        <f t="shared" si="11"/>
        <v>0</v>
      </c>
      <c r="P18" s="25">
        <f t="shared" si="16"/>
        <v>0</v>
      </c>
      <c r="Q18" s="1" t="s">
        <v>123</v>
      </c>
      <c r="R18" s="14" t="s">
        <v>123</v>
      </c>
      <c r="S18" s="11">
        <v>0</v>
      </c>
      <c r="U18" s="26">
        <f t="shared" si="9"/>
        <v>8.6253228849403462E-3</v>
      </c>
    </row>
    <row r="19" spans="1:21" x14ac:dyDescent="0.2">
      <c r="A19" s="1" t="s">
        <v>61</v>
      </c>
      <c r="B19" s="1">
        <v>8647986</v>
      </c>
      <c r="C19" s="1">
        <v>8735511</v>
      </c>
      <c r="D19" s="1">
        <v>28</v>
      </c>
      <c r="E19" s="1">
        <v>47</v>
      </c>
      <c r="F19" s="23">
        <f t="shared" si="0"/>
        <v>0.32377480722101076</v>
      </c>
      <c r="G19" s="23">
        <f t="shared" si="1"/>
        <v>0.53803377959228715</v>
      </c>
      <c r="H19" s="23">
        <f t="shared" si="2"/>
        <v>9.7268212662850143E-2</v>
      </c>
      <c r="I19" s="61">
        <f t="shared" si="10"/>
        <v>6.8087748863995103E-3</v>
      </c>
      <c r="J19" s="23">
        <f t="shared" si="4"/>
        <v>0.39822587446765556</v>
      </c>
      <c r="K19" s="23">
        <f t="shared" si="5"/>
        <v>0.95710075929094429</v>
      </c>
      <c r="L19" s="26">
        <f t="shared" si="6"/>
        <v>2.8713022778728326E-2</v>
      </c>
      <c r="M19" s="28" t="s">
        <v>178</v>
      </c>
      <c r="N19" s="28">
        <v>188215944</v>
      </c>
      <c r="O19" s="29">
        <f t="shared" si="11"/>
        <v>0.12178341026433905</v>
      </c>
      <c r="P19" s="25">
        <f t="shared" si="16"/>
        <v>8.5248387185037338E-3</v>
      </c>
      <c r="Q19" s="1" t="s">
        <v>123</v>
      </c>
      <c r="R19" s="14" t="s">
        <v>123</v>
      </c>
      <c r="S19" s="11">
        <v>0</v>
      </c>
      <c r="U19" s="26">
        <f t="shared" si="9"/>
        <v>4.4046636383631571E-2</v>
      </c>
    </row>
    <row r="20" spans="1:21" x14ac:dyDescent="0.2">
      <c r="A20" s="1" t="s">
        <v>62</v>
      </c>
      <c r="B20" s="1">
        <v>17379644</v>
      </c>
      <c r="C20" s="1">
        <v>17501220</v>
      </c>
      <c r="D20" s="1">
        <v>208</v>
      </c>
      <c r="E20" s="1">
        <v>144</v>
      </c>
      <c r="F20" s="23">
        <f t="shared" si="0"/>
        <v>1.1968024201186169</v>
      </c>
      <c r="G20" s="23">
        <f t="shared" si="1"/>
        <v>0.8227997819580577</v>
      </c>
      <c r="H20" s="23">
        <f t="shared" si="2"/>
        <v>0.14874951574804499</v>
      </c>
      <c r="I20" s="61">
        <f t="shared" si="10"/>
        <v>1.041246610236315E-2</v>
      </c>
      <c r="J20" s="23">
        <f t="shared" si="4"/>
        <v>-0.45454878132141274</v>
      </c>
      <c r="K20" s="23">
        <f t="shared" si="5"/>
        <v>0.68784708635539249</v>
      </c>
      <c r="L20" s="26">
        <f t="shared" si="6"/>
        <v>2.0635412590661775E-2</v>
      </c>
      <c r="M20" s="28" t="s">
        <v>178</v>
      </c>
      <c r="N20" s="28">
        <v>321784453</v>
      </c>
      <c r="O20" s="29">
        <f t="shared" si="11"/>
        <v>0.20825931345223586</v>
      </c>
      <c r="P20" s="25">
        <f t="shared" si="16"/>
        <v>1.4578151941656512E-2</v>
      </c>
      <c r="Q20" s="1" t="s">
        <v>123</v>
      </c>
      <c r="R20" s="14" t="s">
        <v>123</v>
      </c>
      <c r="S20" s="11">
        <v>0</v>
      </c>
      <c r="U20" s="26">
        <f t="shared" si="9"/>
        <v>4.5626030634681437E-2</v>
      </c>
    </row>
    <row r="21" spans="1:21" ht="15.75" customHeight="1" x14ac:dyDescent="0.2">
      <c r="A21" s="1" t="s">
        <v>64</v>
      </c>
      <c r="B21" s="1">
        <v>4901506</v>
      </c>
      <c r="C21" s="1">
        <v>4950601</v>
      </c>
      <c r="D21" s="1">
        <v>89</v>
      </c>
      <c r="E21" s="1">
        <v>92</v>
      </c>
      <c r="F21" s="23">
        <f t="shared" si="0"/>
        <v>1.8157684597346204</v>
      </c>
      <c r="G21" s="23">
        <f t="shared" si="1"/>
        <v>1.8583602273744138</v>
      </c>
      <c r="H21" s="23">
        <f t="shared" si="2"/>
        <v>0.335962879389122</v>
      </c>
      <c r="I21" s="61">
        <f t="shared" si="10"/>
        <v>2.351740155723854E-2</v>
      </c>
      <c r="J21" s="23">
        <f t="shared" si="4"/>
        <v>2.291900515970962E-2</v>
      </c>
      <c r="K21" s="23">
        <f t="shared" si="5"/>
        <v>0.83860198314520629</v>
      </c>
      <c r="L21" s="26">
        <f t="shared" si="6"/>
        <v>2.5158059494356188E-2</v>
      </c>
      <c r="M21" s="28" t="s">
        <v>178</v>
      </c>
      <c r="N21" s="28">
        <v>138233472</v>
      </c>
      <c r="O21" s="29">
        <f t="shared" si="11"/>
        <v>8.9423391857876469E-2</v>
      </c>
      <c r="P21" s="25">
        <f t="shared" si="16"/>
        <v>6.2596374300513532E-3</v>
      </c>
      <c r="Q21" s="1" t="s">
        <v>123</v>
      </c>
      <c r="R21" s="14" t="s">
        <v>123</v>
      </c>
      <c r="S21" s="11">
        <v>0</v>
      </c>
      <c r="U21" s="26">
        <f t="shared" si="9"/>
        <v>5.4935098481646086E-2</v>
      </c>
    </row>
    <row r="22" spans="1:21" ht="15.75" customHeight="1" x14ac:dyDescent="0.2">
      <c r="A22" s="1" t="s">
        <v>65</v>
      </c>
      <c r="B22" s="1">
        <v>2017078</v>
      </c>
      <c r="C22" s="1">
        <v>2030857</v>
      </c>
      <c r="D22" s="1">
        <v>42</v>
      </c>
      <c r="E22" s="1">
        <v>40</v>
      </c>
      <c r="F22" s="23">
        <f t="shared" si="0"/>
        <v>2.0822199240683803</v>
      </c>
      <c r="G22" s="23">
        <f t="shared" si="1"/>
        <v>1.9696118436699386</v>
      </c>
      <c r="H22" s="23">
        <f t="shared" si="2"/>
        <v>0.35607545648626832</v>
      </c>
      <c r="I22" s="61">
        <f t="shared" si="10"/>
        <v>2.4925281954038786E-2</v>
      </c>
      <c r="J22" s="23">
        <f t="shared" si="4"/>
        <v>-5.7172727083434537E-2</v>
      </c>
      <c r="K22" s="23">
        <f t="shared" si="5"/>
        <v>0.81331395080062019</v>
      </c>
      <c r="L22" s="26">
        <f t="shared" si="6"/>
        <v>2.4399418524018605E-2</v>
      </c>
      <c r="M22" s="28" t="s">
        <v>178</v>
      </c>
      <c r="N22" s="28">
        <v>25173394</v>
      </c>
      <c r="O22" s="29">
        <f t="shared" si="11"/>
        <v>1.6225207400010995E-2</v>
      </c>
      <c r="P22" s="25">
        <f t="shared" si="16"/>
        <v>1.1357645180007697E-3</v>
      </c>
      <c r="Q22" s="1" t="s">
        <v>123</v>
      </c>
      <c r="R22" s="14" t="s">
        <v>123</v>
      </c>
      <c r="S22" s="11">
        <v>0</v>
      </c>
      <c r="U22" s="26">
        <f t="shared" si="9"/>
        <v>5.0460464996058163E-2</v>
      </c>
    </row>
    <row r="23" spans="1:21" ht="15.75" customHeight="1" x14ac:dyDescent="0.2">
      <c r="A23" s="1" t="s">
        <v>66</v>
      </c>
      <c r="B23" s="1">
        <v>1278605</v>
      </c>
      <c r="C23" s="1">
        <v>1294124</v>
      </c>
      <c r="D23" s="1">
        <v>29</v>
      </c>
      <c r="E23" s="1">
        <v>63</v>
      </c>
      <c r="F23" s="23">
        <f t="shared" si="0"/>
        <v>2.2680968711994716</v>
      </c>
      <c r="G23" s="23">
        <f t="shared" si="1"/>
        <v>4.8681579199520293</v>
      </c>
      <c r="H23" s="23">
        <f t="shared" si="2"/>
        <v>0.88008790115939428</v>
      </c>
      <c r="I23" s="61">
        <f t="shared" si="10"/>
        <v>6.1606153081157605E-2</v>
      </c>
      <c r="J23" s="23">
        <f t="shared" si="4"/>
        <v>0.53409546105648498</v>
      </c>
      <c r="K23" s="23">
        <f t="shared" si="5"/>
        <v>1</v>
      </c>
      <c r="L23" s="25">
        <v>0.03</v>
      </c>
      <c r="M23" s="28" t="s">
        <v>178</v>
      </c>
      <c r="N23" s="28">
        <v>42122505</v>
      </c>
      <c r="O23" s="29">
        <f t="shared" si="11"/>
        <v>2.7198525084922168E-2</v>
      </c>
      <c r="P23" s="25">
        <f t="shared" si="16"/>
        <v>1.9038967559445519E-3</v>
      </c>
      <c r="Q23" s="1" t="s">
        <v>123</v>
      </c>
      <c r="R23" s="14" t="s">
        <v>123</v>
      </c>
      <c r="S23" s="11">
        <v>0</v>
      </c>
      <c r="U23" s="26">
        <f t="shared" si="9"/>
        <v>9.3510049837102149E-2</v>
      </c>
    </row>
    <row r="24" spans="1:21" ht="15.75" customHeight="1" x14ac:dyDescent="0.2">
      <c r="A24" s="1" t="s">
        <v>67</v>
      </c>
      <c r="B24" s="1">
        <v>6095498</v>
      </c>
      <c r="C24" s="1">
        <v>6202153</v>
      </c>
      <c r="D24" s="1">
        <v>118</v>
      </c>
      <c r="E24" s="1">
        <v>114</v>
      </c>
      <c r="F24" s="23">
        <f t="shared" si="0"/>
        <v>1.9358549539348548</v>
      </c>
      <c r="G24" s="23">
        <f t="shared" si="1"/>
        <v>1.8380713923052203</v>
      </c>
      <c r="H24" s="23">
        <f t="shared" si="2"/>
        <v>0.33229497079481912</v>
      </c>
      <c r="I24" s="61">
        <f t="shared" si="10"/>
        <v>2.3260647955637339E-2</v>
      </c>
      <c r="J24" s="23">
        <f t="shared" si="4"/>
        <v>-5.3199000887010767E-2</v>
      </c>
      <c r="K24" s="23">
        <f t="shared" si="5"/>
        <v>0.81456860860073654</v>
      </c>
      <c r="L24" s="26">
        <f t="shared" ref="L24:L32" si="17">(K24*$L$23)/$K$23</f>
        <v>2.4437058258022094E-2</v>
      </c>
      <c r="M24" s="28" t="s">
        <v>178</v>
      </c>
      <c r="N24" s="28">
        <v>348512473</v>
      </c>
      <c r="O24" s="29">
        <f t="shared" si="11"/>
        <v>0.22556376408381529</v>
      </c>
      <c r="P24" s="25">
        <f t="shared" si="16"/>
        <v>1.5789463485867072E-2</v>
      </c>
      <c r="Q24" s="1" t="s">
        <v>123</v>
      </c>
      <c r="R24" s="14" t="s">
        <v>123</v>
      </c>
      <c r="S24" s="11">
        <v>0</v>
      </c>
      <c r="U24" s="26">
        <f t="shared" si="9"/>
        <v>6.3487169699526502E-2</v>
      </c>
    </row>
    <row r="25" spans="1:21" ht="15.75" customHeight="1" x14ac:dyDescent="0.2">
      <c r="A25" s="1" t="s">
        <v>70</v>
      </c>
      <c r="B25" s="1">
        <v>4244538</v>
      </c>
      <c r="C25" s="1">
        <v>4276769</v>
      </c>
      <c r="D25" s="1">
        <v>81</v>
      </c>
      <c r="E25" s="1">
        <v>98</v>
      </c>
      <c r="F25" s="23">
        <f t="shared" si="0"/>
        <v>1.9083349000527265</v>
      </c>
      <c r="G25" s="23">
        <f t="shared" si="1"/>
        <v>2.2914494563536167</v>
      </c>
      <c r="H25" s="23">
        <f t="shared" si="2"/>
        <v>0.41425873519628181</v>
      </c>
      <c r="I25" s="61">
        <f t="shared" si="10"/>
        <v>2.8998111463739727E-2</v>
      </c>
      <c r="J25" s="23">
        <f t="shared" si="4"/>
        <v>0.16719310794248995</v>
      </c>
      <c r="K25" s="23">
        <f t="shared" si="5"/>
        <v>0.88415485203036392</v>
      </c>
      <c r="L25" s="26">
        <f t="shared" si="17"/>
        <v>2.6524645560910918E-2</v>
      </c>
      <c r="M25" s="28" t="s">
        <v>178</v>
      </c>
      <c r="N25" s="28">
        <v>102081807</v>
      </c>
      <c r="O25" s="29">
        <f t="shared" si="11"/>
        <v>6.6017815902684227E-2</v>
      </c>
      <c r="P25" s="25">
        <f t="shared" si="16"/>
        <v>4.6212471131878959E-3</v>
      </c>
      <c r="Q25" s="1" t="s">
        <v>123</v>
      </c>
      <c r="R25" s="14" t="s">
        <v>123</v>
      </c>
      <c r="S25" s="11">
        <v>0</v>
      </c>
      <c r="U25" s="26">
        <f t="shared" si="9"/>
        <v>6.0144004137838547E-2</v>
      </c>
    </row>
    <row r="26" spans="1:21" ht="15.75" customHeight="1" x14ac:dyDescent="0.2">
      <c r="A26" s="1" t="s">
        <v>71</v>
      </c>
      <c r="B26" s="1">
        <v>6824785</v>
      </c>
      <c r="C26" s="1">
        <v>6907421</v>
      </c>
      <c r="D26" s="1">
        <v>46</v>
      </c>
      <c r="E26" s="1">
        <v>53</v>
      </c>
      <c r="F26" s="23">
        <f t="shared" si="0"/>
        <v>0.67401390666519168</v>
      </c>
      <c r="G26" s="23">
        <f t="shared" si="1"/>
        <v>0.7672907153045978</v>
      </c>
      <c r="H26" s="23">
        <f t="shared" si="2"/>
        <v>0.13871433226187702</v>
      </c>
      <c r="I26" s="61">
        <f t="shared" si="10"/>
        <v>9.710003258331391E-3</v>
      </c>
      <c r="J26" s="23">
        <f t="shared" si="4"/>
        <v>0.12156645034128591</v>
      </c>
      <c r="K26" s="23">
        <f t="shared" si="5"/>
        <v>0.86974876589787975</v>
      </c>
      <c r="L26" s="26">
        <f t="shared" si="17"/>
        <v>2.6092462976936393E-2</v>
      </c>
      <c r="M26" s="28">
        <v>46275214</v>
      </c>
      <c r="N26" s="28">
        <v>52243543</v>
      </c>
      <c r="O26" s="29">
        <f t="shared" si="11"/>
        <v>3.3751161696662924E-2</v>
      </c>
      <c r="P26" s="25">
        <f t="shared" si="16"/>
        <v>2.3625813187664051E-3</v>
      </c>
      <c r="Q26" s="23">
        <f>(N26-M26)/M26</f>
        <v>0.12897463856136895</v>
      </c>
      <c r="R26" s="23">
        <f>(Q26-$R$3)/($R$2-$R$3)</f>
        <v>2.5617586969778221E-2</v>
      </c>
      <c r="S26" s="26">
        <f>(R26*$S$35)/$R$35</f>
        <v>7.6852760909334658E-4</v>
      </c>
      <c r="U26" s="26">
        <f t="shared" si="9"/>
        <v>3.893357516312753E-2</v>
      </c>
    </row>
    <row r="27" spans="1:21" ht="15.75" customHeight="1" x14ac:dyDescent="0.2">
      <c r="A27" s="1" t="s">
        <v>74</v>
      </c>
      <c r="B27" s="1">
        <v>2508214</v>
      </c>
      <c r="C27" s="1">
        <v>2557915</v>
      </c>
      <c r="D27" s="1">
        <v>44</v>
      </c>
      <c r="E27" s="1">
        <v>44</v>
      </c>
      <c r="F27" s="23">
        <f t="shared" si="0"/>
        <v>1.7542362812742454</v>
      </c>
      <c r="G27" s="23">
        <f t="shared" si="1"/>
        <v>1.720150982343041</v>
      </c>
      <c r="H27" s="23">
        <f t="shared" si="2"/>
        <v>0.31097677861331069</v>
      </c>
      <c r="I27" s="61">
        <f t="shared" si="10"/>
        <v>2.1768374502931748E-2</v>
      </c>
      <c r="J27" s="23">
        <f t="shared" si="4"/>
        <v>-1.9815294867184467E-2</v>
      </c>
      <c r="K27" s="23">
        <f t="shared" si="5"/>
        <v>0.82510912525542268</v>
      </c>
      <c r="L27" s="26">
        <f t="shared" si="17"/>
        <v>2.4753273757662678E-2</v>
      </c>
      <c r="M27" s="28" t="s">
        <v>178</v>
      </c>
      <c r="N27" s="28">
        <v>71362684</v>
      </c>
      <c r="O27" s="29">
        <f t="shared" si="11"/>
        <v>4.6129416111045506E-2</v>
      </c>
      <c r="P27" s="25">
        <f t="shared" si="16"/>
        <v>3.2290591277731855E-3</v>
      </c>
      <c r="Q27" s="1" t="s">
        <v>123</v>
      </c>
      <c r="R27" s="14" t="s">
        <v>123</v>
      </c>
      <c r="S27" s="11">
        <v>0</v>
      </c>
      <c r="U27" s="26">
        <f t="shared" si="9"/>
        <v>4.9750707388367614E-2</v>
      </c>
    </row>
    <row r="28" spans="1:21" ht="15.75" customHeight="1" x14ac:dyDescent="0.2">
      <c r="A28" s="1" t="s">
        <v>77</v>
      </c>
      <c r="B28" s="1">
        <v>1977161</v>
      </c>
      <c r="C28" s="1">
        <v>2019606</v>
      </c>
      <c r="D28" s="1">
        <v>48</v>
      </c>
      <c r="E28" s="1">
        <v>49</v>
      </c>
      <c r="F28" s="23">
        <f t="shared" si="0"/>
        <v>2.4277233872203627</v>
      </c>
      <c r="G28" s="23">
        <f t="shared" si="1"/>
        <v>2.4262158064493766</v>
      </c>
      <c r="H28" s="23">
        <f t="shared" si="2"/>
        <v>0.43862241364569787</v>
      </c>
      <c r="I28" s="61">
        <f t="shared" si="10"/>
        <v>3.0703568955198855E-2</v>
      </c>
      <c r="J28" s="23">
        <f t="shared" si="4"/>
        <v>-6.2137125929963006E-4</v>
      </c>
      <c r="K28" s="23">
        <f t="shared" si="5"/>
        <v>0.831169383254865</v>
      </c>
      <c r="L28" s="26">
        <f t="shared" si="17"/>
        <v>2.493508149764595E-2</v>
      </c>
      <c r="M28" s="23" t="s">
        <v>123</v>
      </c>
      <c r="N28" s="33" t="s">
        <v>123</v>
      </c>
      <c r="O28" s="33" t="s">
        <v>123</v>
      </c>
      <c r="P28" s="34">
        <v>0</v>
      </c>
      <c r="Q28" s="23" t="s">
        <v>123</v>
      </c>
      <c r="R28" s="14" t="s">
        <v>123</v>
      </c>
      <c r="S28" s="11">
        <v>0</v>
      </c>
      <c r="U28" s="26">
        <f t="shared" si="9"/>
        <v>5.5638650452844801E-2</v>
      </c>
    </row>
    <row r="29" spans="1:21" ht="15.75" customHeight="1" x14ac:dyDescent="0.2">
      <c r="A29" s="1" t="s">
        <v>78</v>
      </c>
      <c r="B29" s="1">
        <v>2905759</v>
      </c>
      <c r="C29" s="1">
        <v>2931052</v>
      </c>
      <c r="D29" s="1">
        <v>66</v>
      </c>
      <c r="E29" s="1">
        <v>60</v>
      </c>
      <c r="F29" s="23">
        <f t="shared" si="0"/>
        <v>2.2713514782196325</v>
      </c>
      <c r="G29" s="23">
        <f t="shared" si="1"/>
        <v>2.0470465894156771</v>
      </c>
      <c r="H29" s="23">
        <f t="shared" si="2"/>
        <v>0.37007446473143424</v>
      </c>
      <c r="I29" s="61">
        <f t="shared" si="10"/>
        <v>2.5905212531200403E-2</v>
      </c>
      <c r="J29" s="23">
        <f t="shared" si="4"/>
        <v>-0.10957488215643518</v>
      </c>
      <c r="K29" s="23">
        <f t="shared" si="5"/>
        <v>0.79676858019496066</v>
      </c>
      <c r="L29" s="26">
        <f t="shared" si="17"/>
        <v>2.3903057405848818E-2</v>
      </c>
      <c r="M29" s="28" t="s">
        <v>178</v>
      </c>
      <c r="N29" s="28">
        <v>122831500</v>
      </c>
      <c r="O29" s="29">
        <f t="shared" ref="O29:O37" si="18">(N29-$O$3)/($O$2-$O$3)</f>
        <v>7.9451734245267358E-2</v>
      </c>
      <c r="P29" s="25">
        <f t="shared" ref="P29:P37" si="19">(O29*$P$14)/$O$14</f>
        <v>5.5616213971687155E-3</v>
      </c>
      <c r="Q29" s="1" t="s">
        <v>123</v>
      </c>
      <c r="R29" s="14" t="s">
        <v>123</v>
      </c>
      <c r="S29" s="11">
        <v>0</v>
      </c>
      <c r="U29" s="26">
        <f t="shared" si="9"/>
        <v>5.5369891334217936E-2</v>
      </c>
    </row>
    <row r="30" spans="1:21" ht="15.75" customHeight="1" x14ac:dyDescent="0.2">
      <c r="A30" s="1" t="s">
        <v>79</v>
      </c>
      <c r="B30" s="1">
        <v>3118470</v>
      </c>
      <c r="C30" s="1">
        <v>3142699</v>
      </c>
      <c r="D30" s="1">
        <v>79</v>
      </c>
      <c r="E30" s="1">
        <v>74</v>
      </c>
      <c r="F30" s="23">
        <f t="shared" si="0"/>
        <v>2.5332935702443824</v>
      </c>
      <c r="G30" s="23">
        <f t="shared" si="1"/>
        <v>2.3546639369535547</v>
      </c>
      <c r="H30" s="23">
        <f t="shared" si="2"/>
        <v>0.42568693873217467</v>
      </c>
      <c r="I30" s="61">
        <f t="shared" si="10"/>
        <v>2.9798085711252229E-2</v>
      </c>
      <c r="J30" s="23">
        <f t="shared" si="4"/>
        <v>-7.5862049988304189E-2</v>
      </c>
      <c r="K30" s="23">
        <f t="shared" si="5"/>
        <v>0.80741301460058923</v>
      </c>
      <c r="L30" s="26">
        <f t="shared" si="17"/>
        <v>2.4222390438017678E-2</v>
      </c>
      <c r="M30" s="28" t="s">
        <v>178</v>
      </c>
      <c r="N30" s="28">
        <v>76875769</v>
      </c>
      <c r="O30" s="29">
        <f t="shared" si="18"/>
        <v>4.9698738014059676E-2</v>
      </c>
      <c r="P30" s="25">
        <f t="shared" si="19"/>
        <v>3.4789116609841779E-3</v>
      </c>
      <c r="Q30" s="1" t="s">
        <v>123</v>
      </c>
      <c r="R30" s="14" t="s">
        <v>123</v>
      </c>
      <c r="S30" s="11">
        <v>0</v>
      </c>
      <c r="U30" s="26">
        <f t="shared" si="9"/>
        <v>5.7499387810254085E-2</v>
      </c>
    </row>
    <row r="31" spans="1:21" ht="15.75" customHeight="1" x14ac:dyDescent="0.2">
      <c r="A31" s="1" t="s">
        <v>80</v>
      </c>
      <c r="B31" s="1">
        <v>3051188</v>
      </c>
      <c r="C31" s="1">
        <v>3081734</v>
      </c>
      <c r="D31" s="1">
        <v>53</v>
      </c>
      <c r="E31" s="1">
        <v>53</v>
      </c>
      <c r="F31" s="23">
        <f t="shared" si="0"/>
        <v>1.737028331259824</v>
      </c>
      <c r="G31" s="23">
        <f t="shared" si="1"/>
        <v>1.7198109895273244</v>
      </c>
      <c r="H31" s="23">
        <f t="shared" si="2"/>
        <v>0.31091531315378501</v>
      </c>
      <c r="I31" s="61">
        <f t="shared" si="10"/>
        <v>2.1764071920764953E-2</v>
      </c>
      <c r="J31" s="23">
        <f t="shared" si="4"/>
        <v>-1.0011182529559083E-2</v>
      </c>
      <c r="K31" s="23">
        <f t="shared" si="5"/>
        <v>0.82820465962532697</v>
      </c>
      <c r="L31" s="26">
        <f t="shared" si="17"/>
        <v>2.4846139788759807E-2</v>
      </c>
      <c r="M31" s="28" t="s">
        <v>178</v>
      </c>
      <c r="N31" s="28">
        <v>70281013</v>
      </c>
      <c r="O31" s="29">
        <f t="shared" si="18"/>
        <v>4.542911274330217E-2</v>
      </c>
      <c r="P31" s="25">
        <f t="shared" si="19"/>
        <v>3.1800378920311522E-3</v>
      </c>
      <c r="Q31" s="1" t="s">
        <v>123</v>
      </c>
      <c r="R31" s="14" t="s">
        <v>123</v>
      </c>
      <c r="S31" s="11">
        <v>0</v>
      </c>
      <c r="U31" s="26">
        <f t="shared" si="9"/>
        <v>4.9790249601555911E-2</v>
      </c>
    </row>
    <row r="32" spans="1:21" ht="15.75" customHeight="1" x14ac:dyDescent="0.2">
      <c r="A32" s="1" t="s">
        <v>81</v>
      </c>
      <c r="B32" s="1">
        <v>2447193</v>
      </c>
      <c r="C32" s="1">
        <v>2454787</v>
      </c>
      <c r="D32" s="1">
        <v>83</v>
      </c>
      <c r="E32" s="1">
        <v>75</v>
      </c>
      <c r="F32" s="23">
        <f t="shared" si="0"/>
        <v>3.391640953533293</v>
      </c>
      <c r="G32" s="23">
        <f t="shared" si="1"/>
        <v>3.0552548958422872</v>
      </c>
      <c r="H32" s="23">
        <f t="shared" si="2"/>
        <v>0.55234298332197462</v>
      </c>
      <c r="I32" s="61">
        <f t="shared" si="10"/>
        <v>3.8664008832538226E-2</v>
      </c>
      <c r="J32" s="23">
        <f t="shared" si="4"/>
        <v>-0.11010081618681747</v>
      </c>
      <c r="K32" s="23">
        <f t="shared" si="5"/>
        <v>0.79660252264571152</v>
      </c>
      <c r="L32" s="26">
        <f t="shared" si="17"/>
        <v>2.3898075679371345E-2</v>
      </c>
      <c r="M32" s="28" t="s">
        <v>178</v>
      </c>
      <c r="N32" s="28">
        <v>56162633</v>
      </c>
      <c r="O32" s="29">
        <f t="shared" si="18"/>
        <v>3.6288487672388646E-2</v>
      </c>
      <c r="P32" s="25">
        <f t="shared" si="19"/>
        <v>2.5401941370672056E-3</v>
      </c>
      <c r="Q32" s="1" t="s">
        <v>123</v>
      </c>
      <c r="R32" s="14" t="s">
        <v>123</v>
      </c>
      <c r="S32" s="11">
        <v>0</v>
      </c>
      <c r="U32" s="26">
        <f t="shared" si="9"/>
        <v>6.5102278648976775E-2</v>
      </c>
    </row>
    <row r="33" spans="1:33" ht="15.75" customHeight="1" x14ac:dyDescent="0.2">
      <c r="A33" s="1" t="s">
        <v>82</v>
      </c>
      <c r="B33" s="1">
        <v>3652671</v>
      </c>
      <c r="C33" s="1">
        <v>3685588</v>
      </c>
      <c r="D33" s="1">
        <v>98</v>
      </c>
      <c r="E33" s="1">
        <v>0</v>
      </c>
      <c r="F33" s="23">
        <f t="shared" si="0"/>
        <v>2.6829681622023993</v>
      </c>
      <c r="G33" s="23">
        <f t="shared" si="1"/>
        <v>0</v>
      </c>
      <c r="H33" s="23">
        <f t="shared" si="2"/>
        <v>0</v>
      </c>
      <c r="I33" s="61">
        <f t="shared" si="10"/>
        <v>0</v>
      </c>
      <c r="J33" s="55" t="s">
        <v>123</v>
      </c>
      <c r="K33" s="14" t="s">
        <v>123</v>
      </c>
      <c r="L33" s="25">
        <v>0</v>
      </c>
      <c r="M33" s="28" t="s">
        <v>178</v>
      </c>
      <c r="N33" s="28">
        <v>52890549</v>
      </c>
      <c r="O33" s="29">
        <f t="shared" si="18"/>
        <v>3.4170051063901342E-2</v>
      </c>
      <c r="P33" s="25">
        <f t="shared" si="19"/>
        <v>2.391903574473094E-3</v>
      </c>
      <c r="Q33" s="1" t="s">
        <v>123</v>
      </c>
      <c r="R33" s="14" t="s">
        <v>123</v>
      </c>
      <c r="S33" s="11">
        <v>0</v>
      </c>
      <c r="U33" s="26">
        <f t="shared" si="9"/>
        <v>2.391903574473094E-3</v>
      </c>
    </row>
    <row r="34" spans="1:33" ht="15.75" customHeight="1" x14ac:dyDescent="0.2">
      <c r="A34" s="1" t="s">
        <v>85</v>
      </c>
      <c r="B34" s="1">
        <v>1395020</v>
      </c>
      <c r="C34" s="1">
        <v>1412895</v>
      </c>
      <c r="D34" s="1">
        <v>7</v>
      </c>
      <c r="E34" s="1">
        <v>8</v>
      </c>
      <c r="F34" s="23">
        <f t="shared" si="0"/>
        <v>0.50178492064629898</v>
      </c>
      <c r="G34" s="23">
        <f t="shared" si="1"/>
        <v>0.56621334210964014</v>
      </c>
      <c r="H34" s="23">
        <f t="shared" si="2"/>
        <v>0.10236264313106541</v>
      </c>
      <c r="I34" s="61">
        <f t="shared" si="10"/>
        <v>7.1653850191745793E-3</v>
      </c>
      <c r="J34" s="23">
        <f t="shared" ref="J34:J38" si="20">((G34-F34)/G34)</f>
        <v>0.11378824317930926</v>
      </c>
      <c r="K34" s="23">
        <f t="shared" ref="K34:K37" si="21">(J34-$K$3)/($K$2-$K$3)</f>
        <v>0.86729288750961075</v>
      </c>
      <c r="L34" s="26">
        <f t="shared" ref="L34:L37" si="22">(K34*$L$23)/$K$23</f>
        <v>2.6018786625288323E-2</v>
      </c>
      <c r="M34" s="28" t="s">
        <v>178</v>
      </c>
      <c r="N34" s="28">
        <v>14646632</v>
      </c>
      <c r="O34" s="29">
        <f t="shared" si="18"/>
        <v>9.4098939821302061E-3</v>
      </c>
      <c r="P34" s="25">
        <f t="shared" si="19"/>
        <v>6.586925787491145E-4</v>
      </c>
      <c r="Q34" s="1" t="s">
        <v>123</v>
      </c>
      <c r="R34" s="14" t="s">
        <v>123</v>
      </c>
      <c r="S34" s="11">
        <v>0</v>
      </c>
      <c r="U34" s="26">
        <f t="shared" si="9"/>
        <v>3.3842864223212019E-2</v>
      </c>
    </row>
    <row r="35" spans="1:33" ht="15.75" customHeight="1" x14ac:dyDescent="0.2">
      <c r="A35" s="1" t="s">
        <v>86</v>
      </c>
      <c r="B35" s="1">
        <v>8133233</v>
      </c>
      <c r="C35" s="1">
        <v>8131584</v>
      </c>
      <c r="D35" s="1">
        <v>46</v>
      </c>
      <c r="E35" s="1">
        <v>57</v>
      </c>
      <c r="F35" s="23">
        <f t="shared" si="0"/>
        <v>0.56558074753299215</v>
      </c>
      <c r="G35" s="23">
        <f t="shared" si="1"/>
        <v>0.7009704382319607</v>
      </c>
      <c r="H35" s="23">
        <f t="shared" si="2"/>
        <v>0.12672464860474908</v>
      </c>
      <c r="I35" s="61">
        <f t="shared" si="10"/>
        <v>8.8707254023324376E-3</v>
      </c>
      <c r="J35" s="23">
        <f t="shared" si="20"/>
        <v>0.1931460776583652</v>
      </c>
      <c r="K35" s="23">
        <f t="shared" si="21"/>
        <v>0.89234920017632136</v>
      </c>
      <c r="L35" s="26">
        <f t="shared" si="22"/>
        <v>2.6770476005289638E-2</v>
      </c>
      <c r="M35" s="28">
        <v>4403537</v>
      </c>
      <c r="N35" s="28">
        <v>26573642</v>
      </c>
      <c r="O35" s="29">
        <f t="shared" si="18"/>
        <v>1.7131766224344702E-2</v>
      </c>
      <c r="P35" s="25">
        <f t="shared" si="19"/>
        <v>1.1992236357041292E-3</v>
      </c>
      <c r="Q35" s="23">
        <f>(N35-M35)/M35</f>
        <v>5.0346130848906228</v>
      </c>
      <c r="R35" s="23">
        <f>(Q35-$R$3)/($R$2-$R$3)</f>
        <v>1</v>
      </c>
      <c r="S35" s="11">
        <v>0.03</v>
      </c>
      <c r="U35" s="26">
        <f t="shared" si="9"/>
        <v>6.6840425043326199E-2</v>
      </c>
    </row>
    <row r="36" spans="1:33" ht="15.75" customHeight="1" x14ac:dyDescent="0.2">
      <c r="A36" s="1" t="s">
        <v>87</v>
      </c>
      <c r="B36" s="1">
        <v>2420401</v>
      </c>
      <c r="C36" s="1">
        <v>2452378</v>
      </c>
      <c r="D36" s="1">
        <v>59</v>
      </c>
      <c r="E36" s="1">
        <v>60</v>
      </c>
      <c r="F36" s="23">
        <f t="shared" si="0"/>
        <v>2.4376126104723967</v>
      </c>
      <c r="G36" s="23">
        <f t="shared" si="1"/>
        <v>2.4466048871748156</v>
      </c>
      <c r="H36" s="23">
        <f t="shared" si="2"/>
        <v>0.44230844510919604</v>
      </c>
      <c r="I36" s="61">
        <f t="shared" si="10"/>
        <v>3.0961591157643728E-2</v>
      </c>
      <c r="J36" s="23">
        <f t="shared" si="20"/>
        <v>3.6754102591540958E-3</v>
      </c>
      <c r="K36" s="23">
        <f t="shared" si="21"/>
        <v>0.83252604201317992</v>
      </c>
      <c r="L36" s="26">
        <f t="shared" si="22"/>
        <v>2.4975781260395395E-2</v>
      </c>
      <c r="M36" s="28" t="s">
        <v>178</v>
      </c>
      <c r="N36" s="28">
        <v>31203545</v>
      </c>
      <c r="O36" s="29">
        <f t="shared" si="18"/>
        <v>2.0129291962970364E-2</v>
      </c>
      <c r="P36" s="25">
        <f t="shared" si="19"/>
        <v>1.4090504374079257E-3</v>
      </c>
      <c r="Q36" s="1" t="s">
        <v>123</v>
      </c>
      <c r="R36" s="14" t="s">
        <v>123</v>
      </c>
      <c r="S36" s="11">
        <v>0</v>
      </c>
      <c r="U36" s="26">
        <f t="shared" si="9"/>
        <v>5.7346422855447048E-2</v>
      </c>
    </row>
    <row r="37" spans="1:33" ht="15.75" customHeight="1" x14ac:dyDescent="0.2">
      <c r="A37" s="1" t="s">
        <v>88</v>
      </c>
      <c r="B37" s="1">
        <v>1667567</v>
      </c>
      <c r="C37" s="1">
        <v>1683013</v>
      </c>
      <c r="D37" s="1">
        <v>63</v>
      </c>
      <c r="E37" s="1">
        <v>45</v>
      </c>
      <c r="F37" s="23">
        <f t="shared" si="0"/>
        <v>3.7779591464690774</v>
      </c>
      <c r="G37" s="23">
        <f t="shared" si="1"/>
        <v>2.6737761383898992</v>
      </c>
      <c r="H37" s="23">
        <f t="shared" si="2"/>
        <v>0.48337750510542693</v>
      </c>
      <c r="I37" s="61">
        <f t="shared" si="10"/>
        <v>3.3836425357379886E-2</v>
      </c>
      <c r="J37" s="23">
        <f t="shared" si="20"/>
        <v>-0.41296763488363603</v>
      </c>
      <c r="K37" s="23">
        <f t="shared" si="21"/>
        <v>0.70097584941986579</v>
      </c>
      <c r="L37" s="26">
        <f t="shared" si="22"/>
        <v>2.1029275482595974E-2</v>
      </c>
      <c r="M37" s="28" t="s">
        <v>178</v>
      </c>
      <c r="N37" s="28">
        <v>56391349</v>
      </c>
      <c r="O37" s="29">
        <f t="shared" si="18"/>
        <v>3.6436564661655055E-2</v>
      </c>
      <c r="P37" s="25">
        <f t="shared" si="19"/>
        <v>2.5505595263158542E-3</v>
      </c>
      <c r="Q37" s="1" t="s">
        <v>123</v>
      </c>
      <c r="R37" s="14" t="s">
        <v>123</v>
      </c>
      <c r="S37" s="11">
        <v>0</v>
      </c>
      <c r="U37" s="26">
        <f t="shared" si="9"/>
        <v>5.7416260366291709E-2</v>
      </c>
    </row>
    <row r="38" spans="1:33" ht="15.75" customHeight="1" x14ac:dyDescent="0.2">
      <c r="A38" s="35" t="s">
        <v>124</v>
      </c>
      <c r="B38" s="57">
        <f t="shared" ref="B38:C38" si="23">SUM(B3:B37)</f>
        <v>129960600</v>
      </c>
      <c r="C38" s="57">
        <f t="shared" si="23"/>
        <v>131135337</v>
      </c>
      <c r="D38" s="36">
        <f t="shared" ref="D38:E38" si="24">SUM(D6:D37)</f>
        <v>2536</v>
      </c>
      <c r="E38" s="36">
        <f t="shared" si="24"/>
        <v>2517</v>
      </c>
      <c r="F38" s="37">
        <f t="shared" si="0"/>
        <v>1.9513606431487696</v>
      </c>
      <c r="G38" s="37">
        <f t="shared" si="1"/>
        <v>1.9193911096594809</v>
      </c>
      <c r="H38" s="23">
        <f t="shared" si="2"/>
        <v>0.34699632201349356</v>
      </c>
      <c r="I38" s="36"/>
      <c r="J38" s="37">
        <f t="shared" si="20"/>
        <v>-1.6656080841679199E-2</v>
      </c>
      <c r="K38" s="37"/>
      <c r="L38" s="36"/>
      <c r="M38" s="62">
        <f t="shared" ref="M38:N38" si="25">SUM(M6:M37)</f>
        <v>338676608</v>
      </c>
      <c r="N38" s="62">
        <f t="shared" si="25"/>
        <v>4275918486</v>
      </c>
      <c r="O38" s="29"/>
      <c r="P38" s="36"/>
      <c r="Q38" s="37">
        <f>(N38-M38)/M38</f>
        <v>11.625372951650679</v>
      </c>
      <c r="R38" s="37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</row>
    <row r="39" spans="1:33" ht="15.75" customHeight="1" x14ac:dyDescent="0.2"/>
    <row r="40" spans="1:33" ht="15.75" customHeight="1" x14ac:dyDescent="0.2"/>
    <row r="41" spans="1:33" ht="15.75" customHeight="1" x14ac:dyDescent="0.2"/>
    <row r="42" spans="1:33" ht="15.75" customHeight="1" x14ac:dyDescent="0.2"/>
    <row r="43" spans="1:33" ht="15.75" customHeight="1" x14ac:dyDescent="0.2"/>
    <row r="44" spans="1:33" ht="15.75" customHeight="1" x14ac:dyDescent="0.2"/>
    <row r="45" spans="1:33" ht="15.75" customHeight="1" x14ac:dyDescent="0.2"/>
    <row r="46" spans="1:33" ht="15.75" customHeight="1" x14ac:dyDescent="0.2"/>
    <row r="47" spans="1:33" ht="15.75" customHeight="1" x14ac:dyDescent="0.2"/>
    <row r="48" spans="1:3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S38" xr:uid="{00000000-0009-0000-0000-000004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1000"/>
  <sheetViews>
    <sheetView workbookViewId="0"/>
  </sheetViews>
  <sheetFormatPr baseColWidth="10" defaultColWidth="12.6640625" defaultRowHeight="15" customHeight="1" x14ac:dyDescent="0.2"/>
  <cols>
    <col min="1" max="1" width="10.6640625" customWidth="1"/>
    <col min="2" max="3" width="22.6640625" customWidth="1"/>
    <col min="4" max="4" width="10.6640625" customWidth="1"/>
    <col min="5" max="5" width="13.33203125" customWidth="1"/>
    <col min="6" max="6" width="9.33203125" customWidth="1"/>
    <col min="7" max="7" width="15.1640625" customWidth="1"/>
    <col min="8" max="15" width="10.6640625" customWidth="1"/>
    <col min="16" max="16" width="12.6640625" customWidth="1"/>
    <col min="17" max="27" width="10.6640625" customWidth="1"/>
  </cols>
  <sheetData>
    <row r="1" spans="2:16" x14ac:dyDescent="0.2">
      <c r="D1" s="4">
        <v>0.15</v>
      </c>
      <c r="E1" s="4">
        <v>0.3</v>
      </c>
      <c r="F1" s="4">
        <v>0.35</v>
      </c>
      <c r="G1" s="4">
        <v>0.2</v>
      </c>
      <c r="H1" s="4">
        <f>SUM(D1:G1)</f>
        <v>1</v>
      </c>
    </row>
    <row r="2" spans="2:16" ht="42.75" customHeight="1" x14ac:dyDescent="0.2">
      <c r="B2" s="63" t="s">
        <v>179</v>
      </c>
      <c r="C2" s="3" t="s">
        <v>19</v>
      </c>
      <c r="D2" s="64" t="s">
        <v>180</v>
      </c>
      <c r="E2" s="65" t="s">
        <v>8</v>
      </c>
      <c r="F2" s="65" t="s">
        <v>10</v>
      </c>
      <c r="G2" s="65" t="s">
        <v>12</v>
      </c>
      <c r="H2" s="65" t="s">
        <v>181</v>
      </c>
      <c r="I2" s="66"/>
      <c r="J2" s="64" t="s">
        <v>19</v>
      </c>
      <c r="K2" s="65" t="s">
        <v>0</v>
      </c>
      <c r="L2" s="66"/>
      <c r="M2" s="66"/>
      <c r="N2" s="66"/>
      <c r="O2" s="64" t="s">
        <v>19</v>
      </c>
      <c r="P2" s="65" t="s">
        <v>0</v>
      </c>
    </row>
    <row r="3" spans="2:16" x14ac:dyDescent="0.2">
      <c r="C3" s="1" t="s">
        <v>27</v>
      </c>
      <c r="D3" s="4" t="e">
        <f t="array" aca="1" ref="D3" ca="1">_xludf.XLOOKUP(C3,'Org Coord'!A:A,'Org Coord'!D:D)</f>
        <v>#NAME?</v>
      </c>
      <c r="E3" s="26" t="e">
        <f t="array" aca="1" ref="E3" ca="1">_xludf.XLOOKUP(C3,'Poder Judicial'!A:A,'Poder Judicial'!AB:AB)</f>
        <v>#NAME?</v>
      </c>
      <c r="F3" s="26" t="e">
        <f t="array" aca="1" ref="F3" ca="1">_xludf.XLOOKUP(C3,Fiscalía!A:A,Fiscalía!AK:AK)</f>
        <v>#NAME?</v>
      </c>
      <c r="G3" s="26" t="e">
        <f t="array" aca="1" ref="G3" ca="1">_xludf.XLOOKUP(C3,'Def Pub'!A:A,'Def Pub'!U:U)</f>
        <v>#NAME?</v>
      </c>
      <c r="H3" s="26" t="e">
        <f t="shared" ref="H3:H34" ca="1" si="0">SUM(D3+E3+F3+G3)</f>
        <v>#NAME?</v>
      </c>
      <c r="J3" s="1" t="s">
        <v>27</v>
      </c>
      <c r="K3" s="26">
        <v>0.26213521390418759</v>
      </c>
      <c r="L3" s="26"/>
      <c r="M3" s="26"/>
      <c r="N3" s="1">
        <v>1</v>
      </c>
      <c r="O3" s="1" t="s">
        <v>51</v>
      </c>
      <c r="P3" s="26">
        <v>0.62481952935843532</v>
      </c>
    </row>
    <row r="4" spans="2:16" x14ac:dyDescent="0.2">
      <c r="C4" s="1" t="s">
        <v>31</v>
      </c>
      <c r="D4" s="4" t="e">
        <f t="array" aca="1" ref="D4" ca="1">_xludf.XLOOKUP(C4,'Org Coord'!A:A,'Org Coord'!D:D)</f>
        <v>#NAME?</v>
      </c>
      <c r="E4" s="26" t="e">
        <f t="array" aca="1" ref="E4" ca="1">_xludf.XLOOKUP(C4,'Poder Judicial'!A:A,'Poder Judicial'!AB:AB)</f>
        <v>#NAME?</v>
      </c>
      <c r="F4" s="26" t="e">
        <f t="array" aca="1" ref="F4" ca="1">_xludf.XLOOKUP(C4,Fiscalía!A:A,Fiscalía!AK:AK)</f>
        <v>#NAME?</v>
      </c>
      <c r="G4" s="26" t="e">
        <f t="array" aca="1" ref="G4" ca="1">_xludf.XLOOKUP(C4,'Def Pub'!A:A,'Def Pub'!U:U)</f>
        <v>#NAME?</v>
      </c>
      <c r="H4" s="26" t="e">
        <f t="shared" ca="1" si="0"/>
        <v>#NAME?</v>
      </c>
      <c r="J4" s="1" t="s">
        <v>31</v>
      </c>
      <c r="K4" s="26">
        <v>0.35078513347428408</v>
      </c>
      <c r="L4" s="26"/>
      <c r="M4" s="26"/>
      <c r="N4" s="1">
        <v>2</v>
      </c>
      <c r="O4" s="1" t="s">
        <v>47</v>
      </c>
      <c r="P4" s="26">
        <v>0.60642446764837388</v>
      </c>
    </row>
    <row r="5" spans="2:16" x14ac:dyDescent="0.2">
      <c r="C5" s="1" t="s">
        <v>34</v>
      </c>
      <c r="D5" s="4" t="e">
        <f t="array" aca="1" ref="D5" ca="1">_xludf.XLOOKUP(C5,'Org Coord'!A:A,'Org Coord'!D:D)</f>
        <v>#NAME?</v>
      </c>
      <c r="E5" s="26" t="e">
        <f t="array" aca="1" ref="E5" ca="1">_xludf.XLOOKUP(C5,'Poder Judicial'!A:A,'Poder Judicial'!AB:AB)</f>
        <v>#NAME?</v>
      </c>
      <c r="F5" s="26" t="e">
        <f t="array" aca="1" ref="F5" ca="1">_xludf.XLOOKUP(C5,Fiscalía!A:A,Fiscalía!AK:AK)</f>
        <v>#NAME?</v>
      </c>
      <c r="G5" s="26" t="e">
        <f t="array" aca="1" ref="G5" ca="1">_xludf.XLOOKUP(C5,'Def Pub'!A:A,'Def Pub'!U:U)</f>
        <v>#NAME?</v>
      </c>
      <c r="H5" s="26" t="e">
        <f t="shared" ca="1" si="0"/>
        <v>#NAME?</v>
      </c>
      <c r="J5" s="1" t="s">
        <v>34</v>
      </c>
      <c r="K5" s="26">
        <v>0.53946217358609749</v>
      </c>
      <c r="L5" s="26"/>
      <c r="M5" s="26"/>
      <c r="N5" s="1">
        <v>3</v>
      </c>
      <c r="O5" s="1" t="s">
        <v>34</v>
      </c>
      <c r="P5" s="26">
        <v>0.53946217358609749</v>
      </c>
    </row>
    <row r="6" spans="2:16" x14ac:dyDescent="0.2">
      <c r="C6" s="1" t="s">
        <v>39</v>
      </c>
      <c r="D6" s="4" t="e">
        <f t="array" aca="1" ref="D6" ca="1">_xludf.XLOOKUP(C6,'Org Coord'!A:A,'Org Coord'!D:D)</f>
        <v>#NAME?</v>
      </c>
      <c r="E6" s="26" t="e">
        <f t="array" aca="1" ref="E6" ca="1">_xludf.XLOOKUP(C6,'Poder Judicial'!A:A,'Poder Judicial'!AB:AB)</f>
        <v>#NAME?</v>
      </c>
      <c r="F6" s="26" t="e">
        <f t="array" aca="1" ref="F6" ca="1">_xludf.XLOOKUP(C6,Fiscalía!A:A,Fiscalía!AK:AK)</f>
        <v>#NAME?</v>
      </c>
      <c r="G6" s="26" t="e">
        <f t="array" aca="1" ref="G6" ca="1">_xludf.XLOOKUP(C6,'Def Pub'!A:A,'Def Pub'!U:U)</f>
        <v>#NAME?</v>
      </c>
      <c r="H6" s="26" t="e">
        <f t="shared" ca="1" si="0"/>
        <v>#NAME?</v>
      </c>
      <c r="J6" s="1" t="s">
        <v>39</v>
      </c>
      <c r="K6" s="26">
        <v>0.3274781511884628</v>
      </c>
      <c r="L6" s="26"/>
      <c r="M6" s="26"/>
      <c r="N6" s="1">
        <v>4</v>
      </c>
      <c r="O6" s="1" t="s">
        <v>67</v>
      </c>
      <c r="P6" s="26">
        <v>0.47938014465117551</v>
      </c>
    </row>
    <row r="7" spans="2:16" x14ac:dyDescent="0.2">
      <c r="B7" s="6"/>
      <c r="C7" s="6" t="s">
        <v>40</v>
      </c>
      <c r="D7" s="4" t="e">
        <f t="array" aca="1" ref="D7" ca="1">_xludf.XLOOKUP(C7,'Org Coord'!A:A,'Org Coord'!D:D)</f>
        <v>#NAME?</v>
      </c>
      <c r="E7" s="26" t="e">
        <f t="array" aca="1" ref="E7" ca="1">_xludf.XLOOKUP(C7,'Poder Judicial'!A:A,'Poder Judicial'!AB:AB)</f>
        <v>#NAME?</v>
      </c>
      <c r="F7" s="26" t="e">
        <f t="array" aca="1" ref="F7" ca="1">_xludf.XLOOKUP(C7,Fiscalía!A:A,Fiscalía!AK:AK)</f>
        <v>#NAME?</v>
      </c>
      <c r="G7" s="26" t="e">
        <f t="array" aca="1" ref="G7" ca="1">_xludf.XLOOKUP(C7,'Def Pub'!A:A,'Def Pub'!U:U)</f>
        <v>#NAME?</v>
      </c>
      <c r="H7" s="26" t="e">
        <f t="shared" ca="1" si="0"/>
        <v>#NAME?</v>
      </c>
      <c r="J7" s="1" t="s">
        <v>40</v>
      </c>
      <c r="K7" s="26">
        <v>0.42131169552090181</v>
      </c>
      <c r="L7" s="26"/>
      <c r="M7" s="26"/>
      <c r="N7" s="1">
        <v>5</v>
      </c>
      <c r="O7" s="1" t="s">
        <v>55</v>
      </c>
      <c r="P7" s="26">
        <v>0.47927273601875836</v>
      </c>
    </row>
    <row r="8" spans="2:16" x14ac:dyDescent="0.2">
      <c r="C8" s="1" t="s">
        <v>44</v>
      </c>
      <c r="D8" s="4" t="e">
        <f t="array" aca="1" ref="D8" ca="1">_xludf.XLOOKUP(C8,'Org Coord'!A:A,'Org Coord'!D:D)</f>
        <v>#NAME?</v>
      </c>
      <c r="E8" s="26" t="e">
        <f t="array" aca="1" ref="E8" ca="1">_xludf.XLOOKUP(C8,'Poder Judicial'!A:A,'Poder Judicial'!AB:AB)</f>
        <v>#NAME?</v>
      </c>
      <c r="F8" s="26" t="e">
        <f t="array" aca="1" ref="F8" ca="1">_xludf.XLOOKUP(C8,Fiscalía!A:A,Fiscalía!AK:AK)</f>
        <v>#NAME?</v>
      </c>
      <c r="G8" s="26" t="e">
        <f t="array" aca="1" ref="G8" ca="1">_xludf.XLOOKUP(C8,'Def Pub'!A:A,'Def Pub'!U:U)</f>
        <v>#NAME?</v>
      </c>
      <c r="H8" s="26" t="e">
        <f t="shared" ca="1" si="0"/>
        <v>#NAME?</v>
      </c>
      <c r="J8" s="1" t="s">
        <v>44</v>
      </c>
      <c r="K8" s="26">
        <v>0.27934444272379605</v>
      </c>
      <c r="L8" s="26"/>
      <c r="M8" s="26"/>
      <c r="N8" s="1">
        <v>6</v>
      </c>
      <c r="O8" s="1" t="s">
        <v>74</v>
      </c>
      <c r="P8" s="26">
        <v>0.43352210342173381</v>
      </c>
    </row>
    <row r="9" spans="2:16" x14ac:dyDescent="0.2">
      <c r="C9" s="1" t="s">
        <v>45</v>
      </c>
      <c r="D9" s="4" t="e">
        <f t="array" aca="1" ref="D9" ca="1">_xludf.XLOOKUP(C9,'Org Coord'!A:A,'Org Coord'!D:D)</f>
        <v>#NAME?</v>
      </c>
      <c r="E9" s="26" t="e">
        <f t="array" aca="1" ref="E9" ca="1">_xludf.XLOOKUP(C9,'Poder Judicial'!A:A,'Poder Judicial'!AB:AB)</f>
        <v>#NAME?</v>
      </c>
      <c r="F9" s="26" t="e">
        <f t="array" aca="1" ref="F9" ca="1">_xludf.XLOOKUP(C9,Fiscalía!A:A,Fiscalía!AK:AK)</f>
        <v>#NAME?</v>
      </c>
      <c r="G9" s="26" t="e">
        <f t="array" aca="1" ref="G9" ca="1">_xludf.XLOOKUP(C9,'Def Pub'!A:A,'Def Pub'!U:U)</f>
        <v>#NAME?</v>
      </c>
      <c r="H9" s="26" t="e">
        <f t="shared" ca="1" si="0"/>
        <v>#NAME?</v>
      </c>
      <c r="J9" s="1" t="s">
        <v>45</v>
      </c>
      <c r="K9" s="26">
        <v>0.26093007907197291</v>
      </c>
      <c r="L9" s="26"/>
      <c r="M9" s="26"/>
      <c r="N9" s="1">
        <v>7</v>
      </c>
      <c r="O9" s="1" t="s">
        <v>40</v>
      </c>
      <c r="P9" s="26">
        <v>0.42131169552090181</v>
      </c>
    </row>
    <row r="10" spans="2:16" x14ac:dyDescent="0.2">
      <c r="C10" s="1" t="s">
        <v>47</v>
      </c>
      <c r="D10" s="4" t="e">
        <f t="array" aca="1" ref="D10" ca="1">_xludf.XLOOKUP(C10,'Org Coord'!A:A,'Org Coord'!D:D)</f>
        <v>#NAME?</v>
      </c>
      <c r="E10" s="26" t="e">
        <f t="array" aca="1" ref="E10" ca="1">_xludf.XLOOKUP(C10,'Poder Judicial'!A:A,'Poder Judicial'!AB:AB)</f>
        <v>#NAME?</v>
      </c>
      <c r="F10" s="26" t="e">
        <f t="array" aca="1" ref="F10" ca="1">_xludf.XLOOKUP(C10,Fiscalía!A:A,Fiscalía!AK:AK)</f>
        <v>#NAME?</v>
      </c>
      <c r="G10" s="26" t="e">
        <f t="array" aca="1" ref="G10" ca="1">_xludf.XLOOKUP(C10,'Def Pub'!A:A,'Def Pub'!U:U)</f>
        <v>#NAME?</v>
      </c>
      <c r="H10" s="26" t="e">
        <f t="shared" ca="1" si="0"/>
        <v>#NAME?</v>
      </c>
      <c r="J10" s="1" t="s">
        <v>47</v>
      </c>
      <c r="K10" s="26">
        <v>0.60642446764837388</v>
      </c>
      <c r="L10" s="26"/>
      <c r="M10" s="26"/>
      <c r="N10" s="1">
        <v>8</v>
      </c>
      <c r="O10" s="1" t="s">
        <v>66</v>
      </c>
      <c r="P10" s="26">
        <v>0.38157066313009419</v>
      </c>
    </row>
    <row r="11" spans="2:16" x14ac:dyDescent="0.2">
      <c r="C11" s="1" t="s">
        <v>51</v>
      </c>
      <c r="D11" s="4" t="e">
        <f t="array" aca="1" ref="D11" ca="1">_xludf.XLOOKUP(C11,'Org Coord'!A:A,'Org Coord'!D:D)</f>
        <v>#NAME?</v>
      </c>
      <c r="E11" s="26" t="e">
        <f t="array" aca="1" ref="E11" ca="1">_xludf.XLOOKUP(C11,'Poder Judicial'!A:A,'Poder Judicial'!AB:AB)</f>
        <v>#NAME?</v>
      </c>
      <c r="F11" s="26" t="e">
        <f t="array" aca="1" ref="F11" ca="1">_xludf.XLOOKUP(C11,Fiscalía!A:A,Fiscalía!AK:AK)</f>
        <v>#NAME?</v>
      </c>
      <c r="G11" s="26" t="e">
        <f t="array" aca="1" ref="G11" ca="1">_xludf.XLOOKUP(C11,'Def Pub'!A:A,'Def Pub'!U:U)</f>
        <v>#NAME?</v>
      </c>
      <c r="H11" s="26" t="e">
        <f t="shared" ca="1" si="0"/>
        <v>#NAME?</v>
      </c>
      <c r="J11" s="1" t="s">
        <v>51</v>
      </c>
      <c r="K11" s="26">
        <v>0.62481952935843532</v>
      </c>
      <c r="L11" s="26"/>
      <c r="M11" s="26"/>
      <c r="N11" s="1">
        <v>9</v>
      </c>
      <c r="O11" s="1" t="s">
        <v>31</v>
      </c>
      <c r="P11" s="26">
        <v>0.35078513347428408</v>
      </c>
    </row>
    <row r="12" spans="2:16" x14ac:dyDescent="0.2">
      <c r="C12" s="1" t="s">
        <v>52</v>
      </c>
      <c r="D12" s="4" t="e">
        <f t="array" aca="1" ref="D12" ca="1">_xludf.XLOOKUP(C12,'Org Coord'!A:A,'Org Coord'!D:D)</f>
        <v>#NAME?</v>
      </c>
      <c r="E12" s="26" t="e">
        <f t="array" aca="1" ref="E12" ca="1">_xludf.XLOOKUP(C12,'Poder Judicial'!A:A,'Poder Judicial'!AB:AB)</f>
        <v>#NAME?</v>
      </c>
      <c r="F12" s="26" t="e">
        <f t="array" aca="1" ref="F12" ca="1">_xludf.XLOOKUP(C12,Fiscalía!A:A,Fiscalía!AK:AK)</f>
        <v>#NAME?</v>
      </c>
      <c r="G12" s="26" t="e">
        <f t="array" aca="1" ref="G12" ca="1">_xludf.XLOOKUP(C12,'Def Pub'!A:A,'Def Pub'!U:U)</f>
        <v>#NAME?</v>
      </c>
      <c r="H12" s="26" t="e">
        <f t="shared" ca="1" si="0"/>
        <v>#NAME?</v>
      </c>
      <c r="J12" s="1" t="s">
        <v>52</v>
      </c>
      <c r="K12" s="26">
        <v>0.26478250952729887</v>
      </c>
      <c r="L12" s="26"/>
      <c r="M12" s="26"/>
      <c r="N12" s="1">
        <v>10</v>
      </c>
      <c r="O12" s="1" t="s">
        <v>80</v>
      </c>
      <c r="P12" s="26">
        <v>0.33850676281490716</v>
      </c>
    </row>
    <row r="13" spans="2:16" x14ac:dyDescent="0.2">
      <c r="C13" s="1" t="s">
        <v>55</v>
      </c>
      <c r="D13" s="4" t="e">
        <f t="array" aca="1" ref="D13" ca="1">_xludf.XLOOKUP(C13,'Org Coord'!A:A,'Org Coord'!D:D)</f>
        <v>#NAME?</v>
      </c>
      <c r="E13" s="26" t="e">
        <f t="array" aca="1" ref="E13" ca="1">_xludf.XLOOKUP(C13,'Poder Judicial'!A:A,'Poder Judicial'!AB:AB)</f>
        <v>#NAME?</v>
      </c>
      <c r="F13" s="26" t="e">
        <f t="array" aca="1" ref="F13" ca="1">_xludf.XLOOKUP(C13,Fiscalía!A:A,Fiscalía!AK:AK)</f>
        <v>#NAME?</v>
      </c>
      <c r="G13" s="26" t="e">
        <f t="array" aca="1" ref="G13" ca="1">_xludf.XLOOKUP(C13,'Def Pub'!A:A,'Def Pub'!U:U)</f>
        <v>#NAME?</v>
      </c>
      <c r="H13" s="26" t="e">
        <f t="shared" ca="1" si="0"/>
        <v>#NAME?</v>
      </c>
      <c r="J13" s="1" t="s">
        <v>55</v>
      </c>
      <c r="K13" s="26">
        <v>0.47927273601875836</v>
      </c>
      <c r="L13" s="26"/>
      <c r="M13" s="26"/>
      <c r="N13" s="1">
        <v>11</v>
      </c>
      <c r="O13" s="6" t="s">
        <v>182</v>
      </c>
      <c r="P13" s="26">
        <v>0.32753238035468085</v>
      </c>
    </row>
    <row r="14" spans="2:16" x14ac:dyDescent="0.2">
      <c r="C14" s="1" t="s">
        <v>59</v>
      </c>
      <c r="D14" s="4" t="e">
        <f t="array" aca="1" ref="D14" ca="1">_xludf.XLOOKUP(C14,'Org Coord'!A:A,'Org Coord'!D:D)</f>
        <v>#NAME?</v>
      </c>
      <c r="E14" s="26" t="e">
        <f t="array" aca="1" ref="E14" ca="1">_xludf.XLOOKUP(C14,'Poder Judicial'!A:A,'Poder Judicial'!AB:AB)</f>
        <v>#NAME?</v>
      </c>
      <c r="F14" s="26" t="e">
        <f t="array" aca="1" ref="F14" ca="1">_xludf.XLOOKUP(C14,Fiscalía!A:A,Fiscalía!AK:AK)</f>
        <v>#NAME?</v>
      </c>
      <c r="G14" s="26" t="e">
        <f t="array" aca="1" ref="G14" ca="1">_xludf.XLOOKUP(C14,'Def Pub'!A:A,'Def Pub'!U:U)</f>
        <v>#NAME?</v>
      </c>
      <c r="H14" s="26" t="e">
        <f t="shared" ca="1" si="0"/>
        <v>#NAME?</v>
      </c>
      <c r="J14" s="1" t="s">
        <v>59</v>
      </c>
      <c r="K14" s="26">
        <v>0.19678083574814065</v>
      </c>
      <c r="L14" s="26"/>
      <c r="M14" s="26"/>
      <c r="N14" s="1">
        <v>12</v>
      </c>
      <c r="O14" s="6" t="s">
        <v>39</v>
      </c>
      <c r="P14" s="26">
        <v>0.3274781511884628</v>
      </c>
    </row>
    <row r="15" spans="2:16" x14ac:dyDescent="0.2">
      <c r="C15" s="1" t="s">
        <v>60</v>
      </c>
      <c r="D15" s="4" t="e">
        <f t="array" aca="1" ref="D15" ca="1">_xludf.XLOOKUP(C15,'Org Coord'!A:A,'Org Coord'!D:D)</f>
        <v>#NAME?</v>
      </c>
      <c r="E15" s="26" t="e">
        <f t="array" aca="1" ref="E15" ca="1">_xludf.XLOOKUP(C15,'Poder Judicial'!A:A,'Poder Judicial'!AB:AB)</f>
        <v>#NAME?</v>
      </c>
      <c r="F15" s="26" t="e">
        <f t="array" aca="1" ref="F15" ca="1">_xludf.XLOOKUP(C15,Fiscalía!A:A,Fiscalía!AK:AK)</f>
        <v>#NAME?</v>
      </c>
      <c r="G15" s="26" t="e">
        <f t="array" aca="1" ref="G15" ca="1">_xludf.XLOOKUP(C15,'Def Pub'!A:A,'Def Pub'!U:U)</f>
        <v>#NAME?</v>
      </c>
      <c r="H15" s="26" t="e">
        <f t="shared" ca="1" si="0"/>
        <v>#NAME?</v>
      </c>
      <c r="J15" s="1" t="s">
        <v>60</v>
      </c>
      <c r="K15" s="26">
        <v>0.1828045557951184</v>
      </c>
      <c r="L15" s="26"/>
      <c r="M15" s="26"/>
      <c r="N15" s="1">
        <v>13</v>
      </c>
      <c r="O15" s="1" t="s">
        <v>64</v>
      </c>
      <c r="P15" s="26">
        <v>0.30342161442057974</v>
      </c>
    </row>
    <row r="16" spans="2:16" x14ac:dyDescent="0.2">
      <c r="C16" s="1" t="s">
        <v>61</v>
      </c>
      <c r="D16" s="4" t="e">
        <f t="array" aca="1" ref="D16" ca="1">_xludf.XLOOKUP(C16,'Org Coord'!A:A,'Org Coord'!D:D)</f>
        <v>#NAME?</v>
      </c>
      <c r="E16" s="26" t="e">
        <f t="array" aca="1" ref="E16" ca="1">_xludf.XLOOKUP(C16,'Poder Judicial'!A:A,'Poder Judicial'!AB:AB)</f>
        <v>#NAME?</v>
      </c>
      <c r="F16" s="26" t="e">
        <f t="array" aca="1" ref="F16" ca="1">_xludf.XLOOKUP(C16,Fiscalía!A:A,Fiscalía!AK:AK)</f>
        <v>#NAME?</v>
      </c>
      <c r="G16" s="26" t="e">
        <f t="array" aca="1" ref="G16" ca="1">_xludf.XLOOKUP(C16,'Def Pub'!A:A,'Def Pub'!U:U)</f>
        <v>#NAME?</v>
      </c>
      <c r="H16" s="26" t="e">
        <f t="shared" ca="1" si="0"/>
        <v>#NAME?</v>
      </c>
      <c r="J16" s="1" t="s">
        <v>61</v>
      </c>
      <c r="K16" s="26">
        <v>0.23371473465331241</v>
      </c>
      <c r="L16" s="26"/>
      <c r="M16" s="26"/>
      <c r="N16" s="1">
        <v>14</v>
      </c>
      <c r="O16" s="1" t="s">
        <v>70</v>
      </c>
      <c r="P16" s="26">
        <v>0.30039808610007429</v>
      </c>
    </row>
    <row r="17" spans="3:16" x14ac:dyDescent="0.2">
      <c r="C17" s="1" t="s">
        <v>62</v>
      </c>
      <c r="D17" s="4" t="e">
        <f t="array" aca="1" ref="D17" ca="1">_xludf.XLOOKUP(C17,'Org Coord'!A:A,'Org Coord'!D:D)</f>
        <v>#NAME?</v>
      </c>
      <c r="E17" s="26" t="e">
        <f t="array" aca="1" ref="E17" ca="1">_xludf.XLOOKUP(C17,'Poder Judicial'!A:A,'Poder Judicial'!AB:AB)</f>
        <v>#NAME?</v>
      </c>
      <c r="F17" s="26" t="e">
        <f t="array" aca="1" ref="F17" ca="1">_xludf.XLOOKUP(C17,Fiscalía!A:A,Fiscalía!AK:AK)</f>
        <v>#NAME?</v>
      </c>
      <c r="G17" s="26" t="e">
        <f t="array" aca="1" ref="G17" ca="1">_xludf.XLOOKUP(C17,'Def Pub'!A:A,'Def Pub'!U:U)</f>
        <v>#NAME?</v>
      </c>
      <c r="H17" s="26" t="e">
        <f t="shared" ca="1" si="0"/>
        <v>#NAME?</v>
      </c>
      <c r="J17" s="1" t="s">
        <v>62</v>
      </c>
      <c r="K17" s="26">
        <v>0.32753238035468085</v>
      </c>
      <c r="L17" s="26"/>
      <c r="M17" s="26"/>
      <c r="N17" s="1">
        <v>15</v>
      </c>
      <c r="O17" s="1" t="s">
        <v>81</v>
      </c>
      <c r="P17" s="26">
        <v>0.29374153564474237</v>
      </c>
    </row>
    <row r="18" spans="3:16" x14ac:dyDescent="0.2">
      <c r="C18" s="1" t="s">
        <v>64</v>
      </c>
      <c r="D18" s="4" t="e">
        <f t="array" aca="1" ref="D18" ca="1">_xludf.XLOOKUP(C18,'Org Coord'!A:A,'Org Coord'!D:D)</f>
        <v>#NAME?</v>
      </c>
      <c r="E18" s="26" t="e">
        <f t="array" aca="1" ref="E18" ca="1">_xludf.XLOOKUP(C18,'Poder Judicial'!A:A,'Poder Judicial'!AB:AB)</f>
        <v>#NAME?</v>
      </c>
      <c r="F18" s="26" t="e">
        <f t="array" aca="1" ref="F18" ca="1">_xludf.XLOOKUP(C18,Fiscalía!A:A,Fiscalía!AK:AK)</f>
        <v>#NAME?</v>
      </c>
      <c r="G18" s="26" t="e">
        <f t="array" aca="1" ref="G18" ca="1">_xludf.XLOOKUP(C18,'Def Pub'!A:A,'Def Pub'!U:U)</f>
        <v>#NAME?</v>
      </c>
      <c r="H18" s="26" t="e">
        <f t="shared" ca="1" si="0"/>
        <v>#NAME?</v>
      </c>
      <c r="J18" s="1" t="s">
        <v>64</v>
      </c>
      <c r="K18" s="26">
        <v>0.30342161442057974</v>
      </c>
      <c r="L18" s="26"/>
      <c r="M18" s="26"/>
      <c r="N18" s="1">
        <v>16</v>
      </c>
      <c r="O18" s="1" t="s">
        <v>88</v>
      </c>
      <c r="P18" s="26">
        <v>0.28895762294200611</v>
      </c>
    </row>
    <row r="19" spans="3:16" x14ac:dyDescent="0.2">
      <c r="C19" s="1" t="s">
        <v>65</v>
      </c>
      <c r="D19" s="4" t="e">
        <f t="array" aca="1" ref="D19" ca="1">_xludf.XLOOKUP(C19,'Org Coord'!A:A,'Org Coord'!D:D)</f>
        <v>#NAME?</v>
      </c>
      <c r="E19" s="26" t="e">
        <f t="array" aca="1" ref="E19" ca="1">_xludf.XLOOKUP(C19,'Poder Judicial'!A:A,'Poder Judicial'!AB:AB)</f>
        <v>#NAME?</v>
      </c>
      <c r="F19" s="26" t="e">
        <f t="array" aca="1" ref="F19" ca="1">_xludf.XLOOKUP(C19,Fiscalía!A:A,Fiscalía!AK:AK)</f>
        <v>#NAME?</v>
      </c>
      <c r="G19" s="26" t="e">
        <f t="array" aca="1" ref="G19" ca="1">_xludf.XLOOKUP(C19,'Def Pub'!A:A,'Def Pub'!U:U)</f>
        <v>#NAME?</v>
      </c>
      <c r="H19" s="26" t="e">
        <f t="shared" ca="1" si="0"/>
        <v>#NAME?</v>
      </c>
      <c r="J19" s="1" t="s">
        <v>65</v>
      </c>
      <c r="K19" s="26">
        <v>0.24957066577887244</v>
      </c>
      <c r="L19" s="26"/>
      <c r="M19" s="26"/>
      <c r="N19" s="1">
        <v>17</v>
      </c>
      <c r="O19" s="1" t="s">
        <v>44</v>
      </c>
      <c r="P19" s="26">
        <v>0.27934444272379605</v>
      </c>
    </row>
    <row r="20" spans="3:16" x14ac:dyDescent="0.2">
      <c r="C20" s="1" t="s">
        <v>66</v>
      </c>
      <c r="D20" s="4" t="e">
        <f t="array" aca="1" ref="D20" ca="1">_xludf.XLOOKUP(C20,'Org Coord'!A:A,'Org Coord'!D:D)</f>
        <v>#NAME?</v>
      </c>
      <c r="E20" s="26" t="e">
        <f t="array" aca="1" ref="E20" ca="1">_xludf.XLOOKUP(C20,'Poder Judicial'!A:A,'Poder Judicial'!AB:AB)</f>
        <v>#NAME?</v>
      </c>
      <c r="F20" s="26" t="e">
        <f t="array" aca="1" ref="F20" ca="1">_xludf.XLOOKUP(C20,Fiscalía!A:A,Fiscalía!AK:AK)</f>
        <v>#NAME?</v>
      </c>
      <c r="G20" s="26" t="e">
        <f t="array" aca="1" ref="G20" ca="1">_xludf.XLOOKUP(C20,'Def Pub'!A:A,'Def Pub'!U:U)</f>
        <v>#NAME?</v>
      </c>
      <c r="H20" s="26" t="e">
        <f t="shared" ca="1" si="0"/>
        <v>#NAME?</v>
      </c>
      <c r="J20" s="1" t="s">
        <v>66</v>
      </c>
      <c r="K20" s="26">
        <v>0.38157066313009419</v>
      </c>
      <c r="L20" s="26"/>
      <c r="M20" s="26"/>
      <c r="N20" s="1">
        <v>18</v>
      </c>
      <c r="O20" s="1" t="s">
        <v>86</v>
      </c>
      <c r="P20" s="26">
        <v>0.27677120602802247</v>
      </c>
    </row>
    <row r="21" spans="3:16" ht="15.75" customHeight="1" x14ac:dyDescent="0.2">
      <c r="C21" s="1" t="s">
        <v>67</v>
      </c>
      <c r="D21" s="4" t="e">
        <f t="array" aca="1" ref="D21" ca="1">_xludf.XLOOKUP(C21,'Org Coord'!A:A,'Org Coord'!D:D)</f>
        <v>#NAME?</v>
      </c>
      <c r="E21" s="26" t="e">
        <f t="array" aca="1" ref="E21" ca="1">_xludf.XLOOKUP(C21,'Poder Judicial'!A:A,'Poder Judicial'!AB:AB)</f>
        <v>#NAME?</v>
      </c>
      <c r="F21" s="26" t="e">
        <f t="array" aca="1" ref="F21" ca="1">_xludf.XLOOKUP(C21,Fiscalía!A:A,Fiscalía!AK:AK)</f>
        <v>#NAME?</v>
      </c>
      <c r="G21" s="26" t="e">
        <f t="array" aca="1" ref="G21" ca="1">_xludf.XLOOKUP(C21,'Def Pub'!A:A,'Def Pub'!U:U)</f>
        <v>#NAME?</v>
      </c>
      <c r="H21" s="26" t="e">
        <f t="shared" ca="1" si="0"/>
        <v>#NAME?</v>
      </c>
      <c r="J21" s="1" t="s">
        <v>67</v>
      </c>
      <c r="K21" s="26">
        <v>0.47938014465117551</v>
      </c>
      <c r="L21" s="26"/>
      <c r="M21" s="26"/>
      <c r="N21" s="1">
        <v>19</v>
      </c>
      <c r="O21" s="1" t="s">
        <v>87</v>
      </c>
      <c r="P21" s="26">
        <v>0.26847011941830584</v>
      </c>
    </row>
    <row r="22" spans="3:16" ht="15.75" customHeight="1" x14ac:dyDescent="0.2">
      <c r="C22" s="1" t="s">
        <v>70</v>
      </c>
      <c r="D22" s="4" t="e">
        <f t="array" aca="1" ref="D22" ca="1">_xludf.XLOOKUP(C22,'Org Coord'!A:A,'Org Coord'!D:D)</f>
        <v>#NAME?</v>
      </c>
      <c r="E22" s="26" t="e">
        <f t="array" aca="1" ref="E22" ca="1">_xludf.XLOOKUP(C22,'Poder Judicial'!A:A,'Poder Judicial'!AB:AB)</f>
        <v>#NAME?</v>
      </c>
      <c r="F22" s="26" t="e">
        <f t="array" aca="1" ref="F22" ca="1">_xludf.XLOOKUP(C22,Fiscalía!A:A,Fiscalía!AK:AK)</f>
        <v>#NAME?</v>
      </c>
      <c r="G22" s="26" t="e">
        <f t="array" aca="1" ref="G22" ca="1">_xludf.XLOOKUP(C22,'Def Pub'!A:A,'Def Pub'!U:U)</f>
        <v>#NAME?</v>
      </c>
      <c r="H22" s="26" t="e">
        <f t="shared" ca="1" si="0"/>
        <v>#NAME?</v>
      </c>
      <c r="J22" s="1" t="s">
        <v>70</v>
      </c>
      <c r="K22" s="26">
        <v>0.30039808610007429</v>
      </c>
      <c r="L22" s="26"/>
      <c r="M22" s="26"/>
      <c r="N22" s="1">
        <v>20</v>
      </c>
      <c r="O22" s="1" t="s">
        <v>52</v>
      </c>
      <c r="P22" s="26">
        <v>0.26478250952729887</v>
      </c>
    </row>
    <row r="23" spans="3:16" ht="15.75" customHeight="1" x14ac:dyDescent="0.2">
      <c r="C23" s="1" t="s">
        <v>71</v>
      </c>
      <c r="D23" s="4" t="e">
        <f t="array" aca="1" ref="D23" ca="1">_xludf.XLOOKUP(C23,'Org Coord'!A:A,'Org Coord'!D:D)</f>
        <v>#NAME?</v>
      </c>
      <c r="E23" s="26" t="e">
        <f t="array" aca="1" ref="E23" ca="1">_xludf.XLOOKUP(C23,'Poder Judicial'!A:A,'Poder Judicial'!AB:AB)</f>
        <v>#NAME?</v>
      </c>
      <c r="F23" s="26" t="e">
        <f t="array" aca="1" ref="F23" ca="1">_xludf.XLOOKUP(C23,Fiscalía!A:A,Fiscalía!AK:AK)</f>
        <v>#NAME?</v>
      </c>
      <c r="G23" s="26" t="e">
        <f t="array" aca="1" ref="G23" ca="1">_xludf.XLOOKUP(C23,'Def Pub'!A:A,'Def Pub'!U:U)</f>
        <v>#NAME?</v>
      </c>
      <c r="H23" s="26" t="e">
        <f t="shared" ca="1" si="0"/>
        <v>#NAME?</v>
      </c>
      <c r="J23" s="1" t="s">
        <v>71</v>
      </c>
      <c r="K23" s="26">
        <v>0.23037084672481611</v>
      </c>
      <c r="L23" s="26"/>
      <c r="M23" s="26"/>
      <c r="N23" s="1">
        <v>21</v>
      </c>
      <c r="O23" s="1" t="s">
        <v>27</v>
      </c>
      <c r="P23" s="26">
        <v>0.26213521390418759</v>
      </c>
    </row>
    <row r="24" spans="3:16" ht="15.75" customHeight="1" x14ac:dyDescent="0.2">
      <c r="C24" s="1" t="s">
        <v>74</v>
      </c>
      <c r="D24" s="4" t="e">
        <f t="array" aca="1" ref="D24" ca="1">_xludf.XLOOKUP(C24,'Org Coord'!A:A,'Org Coord'!D:D)</f>
        <v>#NAME?</v>
      </c>
      <c r="E24" s="26" t="e">
        <f t="array" aca="1" ref="E24" ca="1">_xludf.XLOOKUP(C24,'Poder Judicial'!A:A,'Poder Judicial'!AB:AB)</f>
        <v>#NAME?</v>
      </c>
      <c r="F24" s="26" t="e">
        <f t="array" aca="1" ref="F24" ca="1">_xludf.XLOOKUP(C24,Fiscalía!A:A,Fiscalía!AK:AK)</f>
        <v>#NAME?</v>
      </c>
      <c r="G24" s="26" t="e">
        <f t="array" aca="1" ref="G24" ca="1">_xludf.XLOOKUP(C24,'Def Pub'!A:A,'Def Pub'!U:U)</f>
        <v>#NAME?</v>
      </c>
      <c r="H24" s="26" t="e">
        <f t="shared" ca="1" si="0"/>
        <v>#NAME?</v>
      </c>
      <c r="J24" s="1" t="s">
        <v>74</v>
      </c>
      <c r="K24" s="26">
        <v>0.43352210342173381</v>
      </c>
      <c r="L24" s="26"/>
      <c r="M24" s="26"/>
      <c r="N24" s="1">
        <v>22</v>
      </c>
      <c r="O24" s="1" t="s">
        <v>45</v>
      </c>
      <c r="P24" s="26">
        <v>0.26093007907197291</v>
      </c>
    </row>
    <row r="25" spans="3:16" ht="15.75" customHeight="1" x14ac:dyDescent="0.2">
      <c r="C25" s="1" t="s">
        <v>77</v>
      </c>
      <c r="D25" s="4" t="e">
        <f t="array" aca="1" ref="D25" ca="1">_xludf.XLOOKUP(C25,'Org Coord'!A:A,'Org Coord'!D:D)</f>
        <v>#NAME?</v>
      </c>
      <c r="E25" s="26" t="e">
        <f t="array" aca="1" ref="E25" ca="1">_xludf.XLOOKUP(C25,'Poder Judicial'!A:A,'Poder Judicial'!AB:AB)</f>
        <v>#NAME?</v>
      </c>
      <c r="F25" s="26" t="e">
        <f t="array" aca="1" ref="F25" ca="1">_xludf.XLOOKUP(C25,Fiscalía!A:A,Fiscalía!AK:AK)</f>
        <v>#NAME?</v>
      </c>
      <c r="G25" s="26" t="e">
        <f t="array" aca="1" ref="G25" ca="1">_xludf.XLOOKUP(C25,'Def Pub'!A:A,'Def Pub'!U:U)</f>
        <v>#NAME?</v>
      </c>
      <c r="H25" s="26" t="e">
        <f t="shared" ca="1" si="0"/>
        <v>#NAME?</v>
      </c>
      <c r="J25" s="1" t="s">
        <v>77</v>
      </c>
      <c r="K25" s="26">
        <v>0.25603303936687077</v>
      </c>
      <c r="L25" s="26"/>
      <c r="M25" s="26"/>
      <c r="N25" s="1">
        <v>23</v>
      </c>
      <c r="O25" s="1" t="s">
        <v>77</v>
      </c>
      <c r="P25" s="26">
        <v>0.25603303936687077</v>
      </c>
    </row>
    <row r="26" spans="3:16" ht="15.75" customHeight="1" x14ac:dyDescent="0.2">
      <c r="C26" s="1" t="s">
        <v>78</v>
      </c>
      <c r="D26" s="4" t="e">
        <f t="array" aca="1" ref="D26" ca="1">_xludf.XLOOKUP(C26,'Org Coord'!A:A,'Org Coord'!D:D)</f>
        <v>#NAME?</v>
      </c>
      <c r="E26" s="26" t="e">
        <f t="array" aca="1" ref="E26" ca="1">_xludf.XLOOKUP(C26,'Poder Judicial'!A:A,'Poder Judicial'!AB:AB)</f>
        <v>#NAME?</v>
      </c>
      <c r="F26" s="26" t="e">
        <f t="array" aca="1" ref="F26" ca="1">_xludf.XLOOKUP(C26,Fiscalía!A:A,Fiscalía!AK:AK)</f>
        <v>#NAME?</v>
      </c>
      <c r="G26" s="26" t="e">
        <f t="array" aca="1" ref="G26" ca="1">_xludf.XLOOKUP(C26,'Def Pub'!A:A,'Def Pub'!U:U)</f>
        <v>#NAME?</v>
      </c>
      <c r="H26" s="26" t="e">
        <f t="shared" ca="1" si="0"/>
        <v>#NAME?</v>
      </c>
      <c r="J26" s="1" t="s">
        <v>78</v>
      </c>
      <c r="K26" s="26">
        <v>0.22587199981032102</v>
      </c>
      <c r="L26" s="26"/>
      <c r="M26" s="26"/>
      <c r="N26" s="1">
        <v>24</v>
      </c>
      <c r="O26" s="1" t="s">
        <v>65</v>
      </c>
      <c r="P26" s="26">
        <v>0.24957066577887244</v>
      </c>
    </row>
    <row r="27" spans="3:16" ht="15.75" customHeight="1" x14ac:dyDescent="0.2">
      <c r="C27" s="1" t="s">
        <v>79</v>
      </c>
      <c r="D27" s="4" t="e">
        <f t="array" aca="1" ref="D27" ca="1">_xludf.XLOOKUP(C27,'Org Coord'!A:A,'Org Coord'!D:D)</f>
        <v>#NAME?</v>
      </c>
      <c r="E27" s="26" t="e">
        <f t="array" aca="1" ref="E27" ca="1">_xludf.XLOOKUP(C27,'Poder Judicial'!A:A,'Poder Judicial'!AB:AB)</f>
        <v>#NAME?</v>
      </c>
      <c r="F27" s="26" t="e">
        <f t="array" aca="1" ref="F27" ca="1">_xludf.XLOOKUP(C27,Fiscalía!A:A,Fiscalía!AK:AK)</f>
        <v>#NAME?</v>
      </c>
      <c r="G27" s="26" t="e">
        <f t="array" aca="1" ref="G27" ca="1">_xludf.XLOOKUP(C27,'Def Pub'!A:A,'Def Pub'!U:U)</f>
        <v>#NAME?</v>
      </c>
      <c r="H27" s="26" t="e">
        <f t="shared" ca="1" si="0"/>
        <v>#NAME?</v>
      </c>
      <c r="J27" s="1" t="s">
        <v>79</v>
      </c>
      <c r="K27" s="26">
        <v>0.22334114768356916</v>
      </c>
      <c r="L27" s="26"/>
      <c r="M27" s="26"/>
      <c r="N27" s="1">
        <v>25</v>
      </c>
      <c r="O27" s="1" t="s">
        <v>61</v>
      </c>
      <c r="P27" s="26">
        <v>0.23371473465331241</v>
      </c>
    </row>
    <row r="28" spans="3:16" ht="15.75" customHeight="1" x14ac:dyDescent="0.2">
      <c r="C28" s="1" t="s">
        <v>80</v>
      </c>
      <c r="D28" s="4" t="e">
        <f t="array" aca="1" ref="D28" ca="1">_xludf.XLOOKUP(C28,'Org Coord'!A:A,'Org Coord'!D:D)</f>
        <v>#NAME?</v>
      </c>
      <c r="E28" s="26" t="e">
        <f t="array" aca="1" ref="E28" ca="1">_xludf.XLOOKUP(C28,'Poder Judicial'!A:A,'Poder Judicial'!AB:AB)</f>
        <v>#NAME?</v>
      </c>
      <c r="F28" s="26" t="e">
        <f t="array" aca="1" ref="F28" ca="1">_xludf.XLOOKUP(C28,Fiscalía!A:A,Fiscalía!AK:AK)</f>
        <v>#NAME?</v>
      </c>
      <c r="G28" s="26" t="e">
        <f t="array" aca="1" ref="G28" ca="1">_xludf.XLOOKUP(C28,'Def Pub'!A:A,'Def Pub'!U:U)</f>
        <v>#NAME?</v>
      </c>
      <c r="H28" s="26" t="e">
        <f t="shared" ca="1" si="0"/>
        <v>#NAME?</v>
      </c>
      <c r="J28" s="1" t="s">
        <v>80</v>
      </c>
      <c r="K28" s="26">
        <v>0.33850676281490716</v>
      </c>
      <c r="L28" s="26"/>
      <c r="M28" s="26"/>
      <c r="N28" s="1">
        <v>26</v>
      </c>
      <c r="O28" s="1" t="s">
        <v>71</v>
      </c>
      <c r="P28" s="26">
        <v>0.23037084672481611</v>
      </c>
    </row>
    <row r="29" spans="3:16" ht="15.75" customHeight="1" x14ac:dyDescent="0.2">
      <c r="C29" s="1" t="s">
        <v>81</v>
      </c>
      <c r="D29" s="4" t="e">
        <f t="array" aca="1" ref="D29" ca="1">_xludf.XLOOKUP(C29,'Org Coord'!A:A,'Org Coord'!D:D)</f>
        <v>#NAME?</v>
      </c>
      <c r="E29" s="26" t="e">
        <f t="array" aca="1" ref="E29" ca="1">_xludf.XLOOKUP(C29,'Poder Judicial'!A:A,'Poder Judicial'!AB:AB)</f>
        <v>#NAME?</v>
      </c>
      <c r="F29" s="26" t="e">
        <f t="array" aca="1" ref="F29" ca="1">_xludf.XLOOKUP(C29,Fiscalía!A:A,Fiscalía!AK:AK)</f>
        <v>#NAME?</v>
      </c>
      <c r="G29" s="26" t="e">
        <f t="array" aca="1" ref="G29" ca="1">_xludf.XLOOKUP(C29,'Def Pub'!A:A,'Def Pub'!U:U)</f>
        <v>#NAME?</v>
      </c>
      <c r="H29" s="26" t="e">
        <f t="shared" ca="1" si="0"/>
        <v>#NAME?</v>
      </c>
      <c r="J29" s="1" t="s">
        <v>81</v>
      </c>
      <c r="K29" s="26">
        <v>0.29374153564474237</v>
      </c>
      <c r="L29" s="26"/>
      <c r="M29" s="26"/>
      <c r="N29" s="1">
        <v>27</v>
      </c>
      <c r="O29" s="1" t="s">
        <v>78</v>
      </c>
      <c r="P29" s="26">
        <v>0.22587199981032102</v>
      </c>
    </row>
    <row r="30" spans="3:16" ht="15.75" customHeight="1" x14ac:dyDescent="0.2">
      <c r="C30" s="1" t="s">
        <v>82</v>
      </c>
      <c r="D30" s="4" t="e">
        <f t="array" aca="1" ref="D30" ca="1">_xludf.XLOOKUP(C30,'Org Coord'!A:A,'Org Coord'!D:D)</f>
        <v>#NAME?</v>
      </c>
      <c r="E30" s="26" t="e">
        <f t="array" aca="1" ref="E30" ca="1">_xludf.XLOOKUP(C30,'Poder Judicial'!A:A,'Poder Judicial'!AB:AB)</f>
        <v>#NAME?</v>
      </c>
      <c r="F30" s="26" t="e">
        <f t="array" aca="1" ref="F30" ca="1">_xludf.XLOOKUP(C30,Fiscalía!A:A,Fiscalía!AK:AK)</f>
        <v>#NAME?</v>
      </c>
      <c r="G30" s="26" t="e">
        <f t="array" aca="1" ref="G30" ca="1">_xludf.XLOOKUP(C30,'Def Pub'!A:A,'Def Pub'!U:U)</f>
        <v>#NAME?</v>
      </c>
      <c r="H30" s="26" t="e">
        <f t="shared" ca="1" si="0"/>
        <v>#NAME?</v>
      </c>
      <c r="J30" s="1" t="s">
        <v>82</v>
      </c>
      <c r="K30" s="26">
        <v>0.22522726589614309</v>
      </c>
      <c r="L30" s="26"/>
      <c r="M30" s="26"/>
      <c r="N30" s="1">
        <v>28</v>
      </c>
      <c r="O30" s="1" t="s">
        <v>82</v>
      </c>
      <c r="P30" s="26">
        <v>0.22522726589614309</v>
      </c>
    </row>
    <row r="31" spans="3:16" ht="15.75" customHeight="1" x14ac:dyDescent="0.2">
      <c r="C31" s="1" t="s">
        <v>85</v>
      </c>
      <c r="D31" s="4" t="e">
        <f t="array" aca="1" ref="D31" ca="1">_xludf.XLOOKUP(C31,'Org Coord'!A:A,'Org Coord'!D:D)</f>
        <v>#NAME?</v>
      </c>
      <c r="E31" s="26" t="e">
        <f t="array" aca="1" ref="E31" ca="1">_xludf.XLOOKUP(C31,'Poder Judicial'!A:A,'Poder Judicial'!AB:AB)</f>
        <v>#NAME?</v>
      </c>
      <c r="F31" s="26" t="e">
        <f t="array" aca="1" ref="F31" ca="1">_xludf.XLOOKUP(C31,Fiscalía!A:A,Fiscalía!AK:AK)</f>
        <v>#NAME?</v>
      </c>
      <c r="G31" s="26" t="e">
        <f t="array" aca="1" ref="G31" ca="1">_xludf.XLOOKUP(C31,'Def Pub'!A:A,'Def Pub'!U:U)</f>
        <v>#NAME?</v>
      </c>
      <c r="H31" s="26" t="e">
        <f t="shared" ca="1" si="0"/>
        <v>#NAME?</v>
      </c>
      <c r="J31" s="1" t="s">
        <v>85</v>
      </c>
      <c r="K31" s="26">
        <v>0.20672040226576316</v>
      </c>
      <c r="L31" s="26"/>
      <c r="M31" s="26"/>
      <c r="N31" s="1">
        <v>29</v>
      </c>
      <c r="O31" s="1" t="s">
        <v>79</v>
      </c>
      <c r="P31" s="26">
        <v>0.22334114768356916</v>
      </c>
    </row>
    <row r="32" spans="3:16" ht="15.75" customHeight="1" x14ac:dyDescent="0.2">
      <c r="C32" s="1" t="s">
        <v>86</v>
      </c>
      <c r="D32" s="4" t="e">
        <f t="array" aca="1" ref="D32" ca="1">_xludf.XLOOKUP(C32,'Org Coord'!A:A,'Org Coord'!D:D)</f>
        <v>#NAME?</v>
      </c>
      <c r="E32" s="26" t="e">
        <f t="array" aca="1" ref="E32" ca="1">_xludf.XLOOKUP(C32,'Poder Judicial'!A:A,'Poder Judicial'!AB:AB)</f>
        <v>#NAME?</v>
      </c>
      <c r="F32" s="26" t="e">
        <f t="array" aca="1" ref="F32" ca="1">_xludf.XLOOKUP(C32,Fiscalía!A:A,Fiscalía!AK:AK)</f>
        <v>#NAME?</v>
      </c>
      <c r="G32" s="26" t="e">
        <f t="array" aca="1" ref="G32" ca="1">_xludf.XLOOKUP(C32,'Def Pub'!A:A,'Def Pub'!U:U)</f>
        <v>#NAME?</v>
      </c>
      <c r="H32" s="26" t="e">
        <f t="shared" ca="1" si="0"/>
        <v>#NAME?</v>
      </c>
      <c r="J32" s="1" t="s">
        <v>86</v>
      </c>
      <c r="K32" s="26">
        <v>0.27677120602802247</v>
      </c>
      <c r="L32" s="26"/>
      <c r="M32" s="26"/>
      <c r="N32" s="1">
        <v>30</v>
      </c>
      <c r="O32" s="1" t="s">
        <v>85</v>
      </c>
      <c r="P32" s="26">
        <v>0.20672040226576316</v>
      </c>
    </row>
    <row r="33" spans="3:16" ht="15.75" customHeight="1" x14ac:dyDescent="0.2">
      <c r="C33" s="1" t="s">
        <v>87</v>
      </c>
      <c r="D33" s="4" t="e">
        <f t="array" aca="1" ref="D33" ca="1">_xludf.XLOOKUP(C33,'Org Coord'!A:A,'Org Coord'!D:D)</f>
        <v>#NAME?</v>
      </c>
      <c r="E33" s="26" t="e">
        <f t="array" aca="1" ref="E33" ca="1">_xludf.XLOOKUP(C33,'Poder Judicial'!A:A,'Poder Judicial'!AB:AB)</f>
        <v>#NAME?</v>
      </c>
      <c r="F33" s="26" t="e">
        <f t="array" aca="1" ref="F33" ca="1">_xludf.XLOOKUP(C33,Fiscalía!A:A,Fiscalía!AK:AK)</f>
        <v>#NAME?</v>
      </c>
      <c r="G33" s="26" t="e">
        <f t="array" aca="1" ref="G33" ca="1">_xludf.XLOOKUP(C33,'Def Pub'!A:A,'Def Pub'!U:U)</f>
        <v>#NAME?</v>
      </c>
      <c r="H33" s="26" t="e">
        <f t="shared" ca="1" si="0"/>
        <v>#NAME?</v>
      </c>
      <c r="J33" s="1" t="s">
        <v>87</v>
      </c>
      <c r="K33" s="26">
        <v>0.26847011941830584</v>
      </c>
      <c r="L33" s="26"/>
      <c r="M33" s="26"/>
      <c r="N33" s="1">
        <v>31</v>
      </c>
      <c r="O33" s="1" t="s">
        <v>59</v>
      </c>
      <c r="P33" s="26">
        <v>0.19678083574814065</v>
      </c>
    </row>
    <row r="34" spans="3:16" ht="15.75" customHeight="1" x14ac:dyDescent="0.2">
      <c r="C34" s="1" t="s">
        <v>88</v>
      </c>
      <c r="D34" s="4" t="e">
        <f t="array" aca="1" ref="D34" ca="1">_xludf.XLOOKUP(C34,'Org Coord'!A:A,'Org Coord'!D:D)</f>
        <v>#NAME?</v>
      </c>
      <c r="E34" s="26" t="e">
        <f t="array" aca="1" ref="E34" ca="1">_xludf.XLOOKUP(C34,'Poder Judicial'!A:A,'Poder Judicial'!AB:AB)</f>
        <v>#NAME?</v>
      </c>
      <c r="F34" s="26" t="e">
        <f t="array" aca="1" ref="F34" ca="1">_xludf.XLOOKUP(C34,Fiscalía!A:A,Fiscalía!AK:AK)</f>
        <v>#NAME?</v>
      </c>
      <c r="G34" s="26" t="e">
        <f t="array" aca="1" ref="G34" ca="1">_xludf.XLOOKUP(C34,'Def Pub'!A:A,'Def Pub'!U:U)</f>
        <v>#NAME?</v>
      </c>
      <c r="H34" s="26" t="e">
        <f t="shared" ca="1" si="0"/>
        <v>#NAME?</v>
      </c>
      <c r="J34" s="1" t="s">
        <v>88</v>
      </c>
      <c r="K34" s="26">
        <v>0.28895762294200611</v>
      </c>
      <c r="L34" s="26"/>
      <c r="M34" s="26"/>
      <c r="N34" s="1">
        <v>32</v>
      </c>
      <c r="O34" s="1" t="s">
        <v>60</v>
      </c>
      <c r="P34" s="26">
        <v>0.1828045557951184</v>
      </c>
    </row>
    <row r="35" spans="3:16" ht="15.75" customHeight="1" x14ac:dyDescent="0.2"/>
    <row r="36" spans="3:16" ht="15.75" customHeight="1" x14ac:dyDescent="0.2">
      <c r="C36" s="6" t="s">
        <v>183</v>
      </c>
      <c r="E36" s="44" t="e">
        <f t="shared" ref="E36:H36" ca="1" si="1">AVERAGE(E3:E34)</f>
        <v>#NAME?</v>
      </c>
      <c r="F36" s="44" t="e">
        <f t="shared" ca="1" si="1"/>
        <v>#NAME?</v>
      </c>
      <c r="G36" s="44" t="e">
        <f t="shared" ca="1" si="1"/>
        <v>#NAME?</v>
      </c>
      <c r="H36" s="44" t="e">
        <f t="shared" ca="1" si="1"/>
        <v>#NAME?</v>
      </c>
    </row>
    <row r="37" spans="3:16" ht="15.75" customHeight="1" x14ac:dyDescent="0.2"/>
    <row r="38" spans="3:16" ht="15.75" customHeight="1" x14ac:dyDescent="0.2"/>
    <row r="39" spans="3:16" ht="15.75" customHeight="1" x14ac:dyDescent="0.2"/>
    <row r="40" spans="3:16" ht="15.75" customHeight="1" x14ac:dyDescent="0.2"/>
    <row r="41" spans="3:16" ht="15.75" customHeight="1" x14ac:dyDescent="0.2"/>
    <row r="42" spans="3:16" ht="15.75" customHeight="1" x14ac:dyDescent="0.2"/>
    <row r="43" spans="3:16" ht="15.75" customHeight="1" x14ac:dyDescent="0.2"/>
    <row r="44" spans="3:16" ht="15.75" customHeight="1" x14ac:dyDescent="0.2"/>
    <row r="45" spans="3:16" ht="15.75" customHeight="1" x14ac:dyDescent="0.2"/>
    <row r="46" spans="3:16" ht="15.75" customHeight="1" x14ac:dyDescent="0.2"/>
    <row r="47" spans="3:16" ht="15.75" customHeight="1" x14ac:dyDescent="0.2"/>
    <row r="48" spans="3:1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C2:H34" xr:uid="{00000000-0009-0000-0000-000005000000}"/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A1:AD38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24" sqref="F24"/>
    </sheetView>
  </sheetViews>
  <sheetFormatPr baseColWidth="10" defaultColWidth="12.6640625" defaultRowHeight="15" customHeight="1" x14ac:dyDescent="0.2"/>
  <cols>
    <col min="1" max="1" width="18.5" customWidth="1"/>
    <col min="2" max="2" width="9.1640625" customWidth="1"/>
    <col min="3" max="5" width="15.6640625" customWidth="1"/>
    <col min="6" max="6" width="18" customWidth="1"/>
    <col min="7" max="7" width="13.1640625" customWidth="1"/>
    <col min="8" max="8" width="21.6640625" customWidth="1"/>
    <col min="9" max="9" width="11.33203125" customWidth="1"/>
    <col min="10" max="10" width="13.6640625" customWidth="1"/>
    <col min="13" max="13" width="23" customWidth="1"/>
    <col min="15" max="15" width="14.6640625" customWidth="1"/>
    <col min="16" max="16" width="13.33203125" customWidth="1"/>
    <col min="19" max="19" width="14.1640625" customWidth="1"/>
    <col min="21" max="21" width="14.33203125" customWidth="1"/>
  </cols>
  <sheetData>
    <row r="1" spans="1:30" ht="15" customHeight="1" x14ac:dyDescent="0.2">
      <c r="A1" s="97" t="s">
        <v>19</v>
      </c>
      <c r="B1" s="103" t="s">
        <v>184</v>
      </c>
      <c r="C1" s="67"/>
      <c r="D1" s="67"/>
      <c r="E1" s="98" t="s">
        <v>185</v>
      </c>
      <c r="F1" s="99"/>
      <c r="G1" s="99"/>
      <c r="H1" s="100"/>
      <c r="I1" s="101" t="s">
        <v>186</v>
      </c>
      <c r="J1" s="99"/>
      <c r="K1" s="99"/>
      <c r="L1" s="100"/>
      <c r="M1" s="68" t="s">
        <v>187</v>
      </c>
      <c r="N1" s="101" t="s">
        <v>188</v>
      </c>
      <c r="O1" s="99"/>
      <c r="P1" s="99"/>
      <c r="Q1" s="99"/>
      <c r="R1" s="99"/>
      <c r="S1" s="100"/>
      <c r="T1" s="102" t="s">
        <v>189</v>
      </c>
      <c r="U1" s="99"/>
      <c r="V1" s="99"/>
      <c r="W1" s="99"/>
      <c r="X1" s="99"/>
      <c r="Y1" s="99"/>
      <c r="Z1" s="99"/>
      <c r="AA1" s="99"/>
      <c r="AB1" s="99"/>
      <c r="AC1" s="99"/>
      <c r="AD1" s="100"/>
    </row>
    <row r="2" spans="1:30" ht="26.25" customHeight="1" x14ac:dyDescent="0.2">
      <c r="A2" s="97" t="s">
        <v>19</v>
      </c>
      <c r="B2" s="104"/>
      <c r="C2" s="69" t="s">
        <v>190</v>
      </c>
      <c r="D2" s="69" t="s">
        <v>191</v>
      </c>
      <c r="E2" s="70" t="s">
        <v>203</v>
      </c>
      <c r="F2" s="71" t="s">
        <v>8</v>
      </c>
      <c r="G2" s="71" t="s">
        <v>10</v>
      </c>
      <c r="H2" s="71" t="s">
        <v>12</v>
      </c>
      <c r="I2" s="71" t="s">
        <v>107</v>
      </c>
      <c r="J2" s="72" t="s">
        <v>192</v>
      </c>
      <c r="K2" s="72" t="s">
        <v>193</v>
      </c>
      <c r="L2" s="72" t="s">
        <v>194</v>
      </c>
      <c r="M2" s="72" t="s">
        <v>195</v>
      </c>
      <c r="N2" s="71" t="s">
        <v>107</v>
      </c>
      <c r="O2" s="72" t="s">
        <v>192</v>
      </c>
      <c r="P2" s="72" t="s">
        <v>196</v>
      </c>
      <c r="Q2" s="72" t="s">
        <v>194</v>
      </c>
      <c r="R2" s="72" t="s">
        <v>197</v>
      </c>
      <c r="S2" s="72" t="s">
        <v>198</v>
      </c>
      <c r="T2" s="71" t="s">
        <v>107</v>
      </c>
      <c r="U2" s="72" t="s">
        <v>192</v>
      </c>
      <c r="V2" s="72" t="s">
        <v>193</v>
      </c>
      <c r="W2" s="72" t="s">
        <v>194</v>
      </c>
      <c r="X2" s="72" t="s">
        <v>150</v>
      </c>
      <c r="Y2" s="72" t="s">
        <v>151</v>
      </c>
      <c r="Z2" s="72" t="s">
        <v>153</v>
      </c>
      <c r="AA2" s="72" t="s">
        <v>155</v>
      </c>
      <c r="AB2" s="72" t="s">
        <v>199</v>
      </c>
      <c r="AC2" s="72" t="s">
        <v>200</v>
      </c>
      <c r="AD2" s="72" t="s">
        <v>201</v>
      </c>
    </row>
    <row r="3" spans="1:30" ht="26.25" customHeight="1" x14ac:dyDescent="0.2">
      <c r="A3" s="73" t="s">
        <v>202</v>
      </c>
      <c r="B3" s="74"/>
      <c r="C3" s="75" t="s">
        <v>181</v>
      </c>
      <c r="D3" s="74" t="s">
        <v>181</v>
      </c>
      <c r="E3" s="71" t="s">
        <v>181</v>
      </c>
      <c r="F3" s="71" t="s">
        <v>181</v>
      </c>
      <c r="G3" s="71" t="s">
        <v>181</v>
      </c>
      <c r="H3" s="71" t="s">
        <v>181</v>
      </c>
      <c r="I3" s="71" t="s">
        <v>12</v>
      </c>
      <c r="J3" s="71" t="s">
        <v>12</v>
      </c>
      <c r="K3" s="71" t="s">
        <v>12</v>
      </c>
      <c r="L3" s="71" t="s">
        <v>12</v>
      </c>
      <c r="M3" s="72" t="s">
        <v>203</v>
      </c>
      <c r="N3" s="71" t="s">
        <v>8</v>
      </c>
      <c r="O3" s="71" t="s">
        <v>8</v>
      </c>
      <c r="P3" s="71" t="s">
        <v>8</v>
      </c>
      <c r="Q3" s="71" t="s">
        <v>8</v>
      </c>
      <c r="R3" s="71" t="s">
        <v>8</v>
      </c>
      <c r="S3" s="71" t="s">
        <v>8</v>
      </c>
      <c r="T3" s="71" t="s">
        <v>10</v>
      </c>
      <c r="U3" s="71" t="s">
        <v>10</v>
      </c>
      <c r="V3" s="71" t="s">
        <v>10</v>
      </c>
      <c r="W3" s="71" t="s">
        <v>10</v>
      </c>
      <c r="X3" s="71" t="s">
        <v>10</v>
      </c>
      <c r="Y3" s="71" t="s">
        <v>10</v>
      </c>
      <c r="Z3" s="71" t="s">
        <v>10</v>
      </c>
      <c r="AA3" s="71" t="s">
        <v>10</v>
      </c>
      <c r="AB3" s="71" t="s">
        <v>10</v>
      </c>
      <c r="AC3" s="71" t="s">
        <v>10</v>
      </c>
      <c r="AD3" s="71" t="s">
        <v>10</v>
      </c>
    </row>
    <row r="4" spans="1:30" ht="31" x14ac:dyDescent="0.2">
      <c r="A4" s="76" t="s">
        <v>202</v>
      </c>
      <c r="B4" s="76" t="s">
        <v>179</v>
      </c>
      <c r="C4" s="76" t="s">
        <v>204</v>
      </c>
      <c r="D4" s="76" t="s">
        <v>205</v>
      </c>
      <c r="E4" s="77" t="s">
        <v>206</v>
      </c>
      <c r="F4" s="77" t="s">
        <v>207</v>
      </c>
      <c r="G4" s="77" t="s">
        <v>208</v>
      </c>
      <c r="H4" s="77" t="s">
        <v>209</v>
      </c>
      <c r="I4" s="77" t="s">
        <v>210</v>
      </c>
      <c r="J4" s="77" t="s">
        <v>211</v>
      </c>
      <c r="K4" s="77" t="s">
        <v>212</v>
      </c>
      <c r="L4" s="77" t="s">
        <v>213</v>
      </c>
      <c r="M4" s="77" t="s">
        <v>214</v>
      </c>
      <c r="N4" s="77" t="s">
        <v>215</v>
      </c>
      <c r="O4" s="77" t="s">
        <v>216</v>
      </c>
      <c r="P4" s="77" t="s">
        <v>217</v>
      </c>
      <c r="Q4" s="77" t="s">
        <v>218</v>
      </c>
      <c r="R4" s="77" t="s">
        <v>219</v>
      </c>
      <c r="S4" s="77" t="s">
        <v>220</v>
      </c>
      <c r="T4" s="77" t="s">
        <v>221</v>
      </c>
      <c r="U4" s="77" t="s">
        <v>222</v>
      </c>
      <c r="V4" s="77" t="s">
        <v>223</v>
      </c>
      <c r="W4" s="77" t="s">
        <v>224</v>
      </c>
      <c r="X4" s="77" t="s">
        <v>225</v>
      </c>
      <c r="Y4" s="77" t="s">
        <v>226</v>
      </c>
      <c r="Z4" s="77" t="s">
        <v>227</v>
      </c>
      <c r="AA4" s="77" t="s">
        <v>228</v>
      </c>
      <c r="AB4" s="77" t="s">
        <v>229</v>
      </c>
      <c r="AC4" s="77" t="s">
        <v>230</v>
      </c>
      <c r="AD4" s="77" t="s">
        <v>231</v>
      </c>
    </row>
    <row r="5" spans="1:30" x14ac:dyDescent="0.2">
      <c r="A5" s="78" t="s">
        <v>232</v>
      </c>
      <c r="B5" s="79"/>
      <c r="C5" s="80"/>
      <c r="D5" s="81">
        <f t="shared" ref="D5:D37" si="0">SUM(E5:H5)</f>
        <v>1</v>
      </c>
      <c r="E5" s="82">
        <v>0.15</v>
      </c>
      <c r="F5" s="82">
        <v>0.3</v>
      </c>
      <c r="G5" s="82">
        <v>0.35</v>
      </c>
      <c r="H5" s="82">
        <v>0.2</v>
      </c>
      <c r="I5" s="81">
        <v>7.0000000000000007E-2</v>
      </c>
      <c r="J5" s="81">
        <v>0.03</v>
      </c>
      <c r="K5" s="81">
        <v>7.0000000000000007E-2</v>
      </c>
      <c r="L5" s="81">
        <v>0.03</v>
      </c>
      <c r="M5" s="81">
        <v>0.15</v>
      </c>
      <c r="N5" s="81">
        <v>7.0000000000000007E-2</v>
      </c>
      <c r="O5" s="81">
        <v>0.03</v>
      </c>
      <c r="P5" s="81">
        <v>7.0000000000000007E-2</v>
      </c>
      <c r="Q5" s="81">
        <v>0.03</v>
      </c>
      <c r="R5" s="81">
        <v>0.05</v>
      </c>
      <c r="S5" s="81">
        <v>0.05</v>
      </c>
      <c r="T5" s="81">
        <v>7.0000000000000007E-2</v>
      </c>
      <c r="U5" s="81">
        <v>0.03</v>
      </c>
      <c r="V5" s="81">
        <v>7.0000000000000007E-2</v>
      </c>
      <c r="W5" s="81">
        <v>0.03</v>
      </c>
      <c r="X5" s="81">
        <v>0.05</v>
      </c>
      <c r="Y5" s="81">
        <v>0.01</v>
      </c>
      <c r="Z5" s="81">
        <v>0.01</v>
      </c>
      <c r="AA5" s="81">
        <v>0.01</v>
      </c>
      <c r="AB5" s="81">
        <v>0.01</v>
      </c>
      <c r="AC5" s="81">
        <v>0.01</v>
      </c>
      <c r="AD5" s="81">
        <v>0.05</v>
      </c>
    </row>
    <row r="6" spans="1:30" x14ac:dyDescent="0.2">
      <c r="A6" s="83" t="s">
        <v>27</v>
      </c>
      <c r="B6" s="84" t="s">
        <v>233</v>
      </c>
      <c r="C6" s="83">
        <v>21</v>
      </c>
      <c r="D6" s="85">
        <f t="shared" si="0"/>
        <v>0.26213521390418759</v>
      </c>
      <c r="E6" s="86">
        <v>0</v>
      </c>
      <c r="F6" s="86">
        <v>9.1993614457834161E-2</v>
      </c>
      <c r="G6" s="86">
        <v>0.11736084167137426</v>
      </c>
      <c r="H6" s="86">
        <v>5.2780757774979148E-2</v>
      </c>
      <c r="I6" s="86">
        <v>2.6803482480043658E-2</v>
      </c>
      <c r="J6" s="86">
        <v>2.451582543014182E-2</v>
      </c>
      <c r="K6" s="86">
        <v>1.4614498647936721E-3</v>
      </c>
      <c r="L6" s="86">
        <v>0</v>
      </c>
      <c r="M6" s="86">
        <v>0</v>
      </c>
      <c r="N6" s="86">
        <v>1.3312391606830084E-2</v>
      </c>
      <c r="O6" s="86">
        <v>1.5631053546946005E-2</v>
      </c>
      <c r="P6" s="86">
        <v>3.6655116363092854E-3</v>
      </c>
      <c r="Q6" s="86">
        <v>1.6969531993631427E-2</v>
      </c>
      <c r="R6" s="86">
        <v>0</v>
      </c>
      <c r="S6" s="86">
        <v>4.241512567411735E-2</v>
      </c>
      <c r="T6" s="86">
        <v>1.3006106417828407E-2</v>
      </c>
      <c r="U6" s="86">
        <v>1.2340257938806921E-2</v>
      </c>
      <c r="V6" s="86">
        <v>2.9636620552959433E-3</v>
      </c>
      <c r="W6" s="86">
        <v>1.6702845496282828E-2</v>
      </c>
      <c r="X6" s="86">
        <v>0.05</v>
      </c>
      <c r="Y6" s="86">
        <v>0</v>
      </c>
      <c r="Z6" s="86">
        <v>0</v>
      </c>
      <c r="AA6" s="86">
        <v>0</v>
      </c>
      <c r="AB6" s="86">
        <v>0.01</v>
      </c>
      <c r="AC6" s="86">
        <v>0</v>
      </c>
      <c r="AD6" s="86">
        <v>1.2347969763160153E-2</v>
      </c>
    </row>
    <row r="7" spans="1:30" x14ac:dyDescent="0.2">
      <c r="A7" s="83" t="s">
        <v>31</v>
      </c>
      <c r="B7" s="84" t="s">
        <v>234</v>
      </c>
      <c r="C7" s="83">
        <v>9</v>
      </c>
      <c r="D7" s="85">
        <f t="shared" si="0"/>
        <v>0.35078513347428408</v>
      </c>
      <c r="E7" s="86">
        <v>0</v>
      </c>
      <c r="F7" s="86">
        <v>0.13661201473221854</v>
      </c>
      <c r="G7" s="86">
        <v>0.13228332081455288</v>
      </c>
      <c r="H7" s="86">
        <v>8.1889797927512678E-2</v>
      </c>
      <c r="I7" s="86">
        <v>4.8909309019717372E-2</v>
      </c>
      <c r="J7" s="86">
        <v>2.7088259152311528E-2</v>
      </c>
      <c r="K7" s="86">
        <v>5.8922297554837777E-3</v>
      </c>
      <c r="L7" s="86">
        <v>0</v>
      </c>
      <c r="M7" s="86">
        <v>0</v>
      </c>
      <c r="N7" s="86">
        <v>1.7155129230483956E-2</v>
      </c>
      <c r="O7" s="86">
        <v>1.7361190783553585E-2</v>
      </c>
      <c r="P7" s="86">
        <v>1.4008650469213881E-2</v>
      </c>
      <c r="Q7" s="86">
        <v>2.9129399105057893E-2</v>
      </c>
      <c r="R7" s="86">
        <v>0.05</v>
      </c>
      <c r="S7" s="86">
        <v>8.9576451439092025E-3</v>
      </c>
      <c r="T7" s="86">
        <v>1.7826260951556181E-2</v>
      </c>
      <c r="U7" s="86">
        <v>1.1638232619895493E-2</v>
      </c>
      <c r="V7" s="86">
        <v>1.9408215024395315E-2</v>
      </c>
      <c r="W7" s="86">
        <v>2.0657406526030524E-2</v>
      </c>
      <c r="X7" s="86">
        <v>0.05</v>
      </c>
      <c r="Y7" s="86">
        <v>0</v>
      </c>
      <c r="Z7" s="86">
        <v>0</v>
      </c>
      <c r="AA7" s="86">
        <v>0</v>
      </c>
      <c r="AB7" s="86">
        <v>0</v>
      </c>
      <c r="AC7" s="86">
        <v>0</v>
      </c>
      <c r="AD7" s="86">
        <v>1.2753205692675362E-2</v>
      </c>
    </row>
    <row r="8" spans="1:30" x14ac:dyDescent="0.2">
      <c r="A8" s="83" t="s">
        <v>34</v>
      </c>
      <c r="B8" s="84" t="s">
        <v>235</v>
      </c>
      <c r="C8" s="83">
        <v>3</v>
      </c>
      <c r="D8" s="85">
        <f t="shared" si="0"/>
        <v>0.53946217358609749</v>
      </c>
      <c r="E8" s="86">
        <v>0.15</v>
      </c>
      <c r="F8" s="86">
        <v>0.15083050818040766</v>
      </c>
      <c r="G8" s="86">
        <v>0.13902434996680579</v>
      </c>
      <c r="H8" s="86">
        <v>9.9607315438884014E-2</v>
      </c>
      <c r="I8" s="86">
        <v>7.0000000000000007E-2</v>
      </c>
      <c r="J8" s="86">
        <v>2.7355538497855998E-2</v>
      </c>
      <c r="K8" s="86">
        <v>2.2517769410280212E-3</v>
      </c>
      <c r="L8" s="86">
        <v>0</v>
      </c>
      <c r="M8" s="86">
        <v>0.15</v>
      </c>
      <c r="N8" s="86">
        <v>2.7636026251545941E-2</v>
      </c>
      <c r="O8" s="86">
        <v>8.7689842670190983E-3</v>
      </c>
      <c r="P8" s="86">
        <v>2.095591442462089E-3</v>
      </c>
      <c r="Q8" s="86">
        <v>1.6489001652830584E-2</v>
      </c>
      <c r="R8" s="86">
        <v>0.05</v>
      </c>
      <c r="S8" s="86">
        <v>4.5840904566549934E-2</v>
      </c>
      <c r="T8" s="86">
        <v>2.9169693396667754E-2</v>
      </c>
      <c r="U8" s="86">
        <v>1.4324909199178374E-2</v>
      </c>
      <c r="V8" s="86">
        <v>1.1545814431795848E-3</v>
      </c>
      <c r="W8" s="86">
        <v>2.4375165927780107E-2</v>
      </c>
      <c r="X8" s="87">
        <v>0</v>
      </c>
      <c r="Y8" s="86">
        <v>0</v>
      </c>
      <c r="Z8" s="86">
        <v>0.01</v>
      </c>
      <c r="AA8" s="86">
        <v>0</v>
      </c>
      <c r="AB8" s="86">
        <v>0.01</v>
      </c>
      <c r="AC8" s="86">
        <v>0</v>
      </c>
      <c r="AD8" s="86">
        <v>0.05</v>
      </c>
    </row>
    <row r="9" spans="1:30" x14ac:dyDescent="0.2">
      <c r="A9" s="83" t="s">
        <v>39</v>
      </c>
      <c r="B9" s="84" t="s">
        <v>236</v>
      </c>
      <c r="C9" s="83">
        <v>12</v>
      </c>
      <c r="D9" s="85">
        <f t="shared" si="0"/>
        <v>0.3274781511884628</v>
      </c>
      <c r="E9" s="86">
        <v>0</v>
      </c>
      <c r="F9" s="86">
        <v>0.13811632404243643</v>
      </c>
      <c r="G9" s="86">
        <v>0.12022884562000727</v>
      </c>
      <c r="H9" s="86">
        <v>6.9132981526019099E-2</v>
      </c>
      <c r="I9" s="86">
        <v>4.261404839850811E-2</v>
      </c>
      <c r="J9" s="86">
        <v>2.4892416491924651E-2</v>
      </c>
      <c r="K9" s="86">
        <v>1.626516635586335E-3</v>
      </c>
      <c r="L9" s="86">
        <v>0</v>
      </c>
      <c r="M9" s="86">
        <v>0</v>
      </c>
      <c r="N9" s="86">
        <v>1.291774670578491E-2</v>
      </c>
      <c r="O9" s="86">
        <v>1.9408348173510694E-2</v>
      </c>
      <c r="P9" s="86">
        <v>7.6554039676246099E-4</v>
      </c>
      <c r="Q9" s="86">
        <v>1.1566373197953896E-2</v>
      </c>
      <c r="R9" s="86">
        <v>0.05</v>
      </c>
      <c r="S9" s="86">
        <v>4.3458315568424478E-2</v>
      </c>
      <c r="T9" s="86">
        <v>1.8327380312004236E-2</v>
      </c>
      <c r="U9" s="86">
        <v>2.530629617321891E-2</v>
      </c>
      <c r="V9" s="86">
        <v>8.7509280529702378E-4</v>
      </c>
      <c r="W9" s="86">
        <v>7.1040025295248527E-3</v>
      </c>
      <c r="X9" s="86">
        <v>0</v>
      </c>
      <c r="Y9" s="86">
        <v>0.01</v>
      </c>
      <c r="Z9" s="86">
        <v>0.01</v>
      </c>
      <c r="AA9" s="86">
        <v>0.01</v>
      </c>
      <c r="AB9" s="86">
        <v>0.01</v>
      </c>
      <c r="AC9" s="86">
        <v>0</v>
      </c>
      <c r="AD9" s="86">
        <v>2.8616073799962248E-2</v>
      </c>
    </row>
    <row r="10" spans="1:30" x14ac:dyDescent="0.2">
      <c r="A10" s="76" t="s">
        <v>237</v>
      </c>
      <c r="B10" s="84" t="s">
        <v>238</v>
      </c>
      <c r="C10" s="83">
        <v>7</v>
      </c>
      <c r="D10" s="85">
        <f t="shared" si="0"/>
        <v>0.42131169552090181</v>
      </c>
      <c r="E10" s="86">
        <v>0.15</v>
      </c>
      <c r="F10" s="86">
        <v>8.4418082830446758E-2</v>
      </c>
      <c r="G10" s="86">
        <v>0.13749264632881814</v>
      </c>
      <c r="H10" s="86">
        <v>4.9400966361636954E-2</v>
      </c>
      <c r="I10" s="86">
        <v>2.3655926143900021E-2</v>
      </c>
      <c r="J10" s="86">
        <v>2.5745040217736933E-2</v>
      </c>
      <c r="K10" s="86">
        <v>0</v>
      </c>
      <c r="L10" s="86">
        <v>0</v>
      </c>
      <c r="M10" s="86">
        <v>0.15</v>
      </c>
      <c r="N10" s="86">
        <v>1.2076755822522996E-2</v>
      </c>
      <c r="O10" s="86">
        <v>1.5632027432924314E-2</v>
      </c>
      <c r="P10" s="86">
        <v>1.0067489928944011E-2</v>
      </c>
      <c r="Q10" s="86">
        <v>2.2250920460313697E-2</v>
      </c>
      <c r="R10" s="86">
        <v>0</v>
      </c>
      <c r="S10" s="86">
        <v>2.439088918574174E-2</v>
      </c>
      <c r="T10" s="86">
        <v>1.5137631782150579E-2</v>
      </c>
      <c r="U10" s="86">
        <v>1.0093460504150021E-2</v>
      </c>
      <c r="V10" s="86">
        <v>5.5212545012596056E-3</v>
      </c>
      <c r="W10" s="86">
        <v>8.7468691508100736E-3</v>
      </c>
      <c r="X10" s="86">
        <v>0.05</v>
      </c>
      <c r="Y10" s="86">
        <v>0</v>
      </c>
      <c r="Z10" s="86">
        <v>0.01</v>
      </c>
      <c r="AA10" s="86">
        <v>0</v>
      </c>
      <c r="AB10" s="86">
        <v>0</v>
      </c>
      <c r="AC10" s="86">
        <v>0</v>
      </c>
      <c r="AD10" s="86">
        <v>3.7993430390447849E-2</v>
      </c>
    </row>
    <row r="11" spans="1:30" x14ac:dyDescent="0.2">
      <c r="A11" s="76" t="s">
        <v>44</v>
      </c>
      <c r="B11" s="84" t="s">
        <v>239</v>
      </c>
      <c r="C11" s="83">
        <v>17</v>
      </c>
      <c r="D11" s="85">
        <f t="shared" si="0"/>
        <v>0.27934444272379605</v>
      </c>
      <c r="E11" s="86">
        <v>0</v>
      </c>
      <c r="F11" s="86">
        <v>3.3487409160568131E-2</v>
      </c>
      <c r="G11" s="86">
        <v>0.18692763225373901</v>
      </c>
      <c r="H11" s="86">
        <v>5.8929401309488913E-2</v>
      </c>
      <c r="I11" s="86">
        <v>3.1745696930088045E-2</v>
      </c>
      <c r="J11" s="86">
        <v>2.6381876468814614E-2</v>
      </c>
      <c r="K11" s="86">
        <v>8.0182791058625101E-4</v>
      </c>
      <c r="L11" s="86">
        <v>0</v>
      </c>
      <c r="M11" s="86">
        <v>0</v>
      </c>
      <c r="N11" s="86">
        <v>9.6199028736944857E-4</v>
      </c>
      <c r="O11" s="86">
        <v>7.1916054988972126E-4</v>
      </c>
      <c r="P11" s="86">
        <v>0</v>
      </c>
      <c r="Q11" s="86">
        <v>5.3051884010890003E-3</v>
      </c>
      <c r="R11" s="86">
        <v>0</v>
      </c>
      <c r="S11" s="86">
        <v>2.6501069922219962E-2</v>
      </c>
      <c r="T11" s="86">
        <v>3.2448706145951384E-2</v>
      </c>
      <c r="U11" s="86">
        <v>1.3982776228334649E-2</v>
      </c>
      <c r="V11" s="86">
        <v>1.5481327993418026E-3</v>
      </c>
      <c r="W11" s="86">
        <v>8.4964419755256867E-3</v>
      </c>
      <c r="X11" s="86">
        <v>0.05</v>
      </c>
      <c r="Y11" s="86">
        <v>0</v>
      </c>
      <c r="Z11" s="86">
        <v>0.01</v>
      </c>
      <c r="AA11" s="86">
        <v>0.01</v>
      </c>
      <c r="AB11" s="86">
        <v>0.01</v>
      </c>
      <c r="AC11" s="86">
        <v>0</v>
      </c>
      <c r="AD11" s="86">
        <v>5.0451575104585485E-2</v>
      </c>
    </row>
    <row r="12" spans="1:30" x14ac:dyDescent="0.2">
      <c r="A12" s="83" t="s">
        <v>45</v>
      </c>
      <c r="B12" s="84" t="s">
        <v>240</v>
      </c>
      <c r="C12" s="83">
        <v>22</v>
      </c>
      <c r="D12" s="85">
        <f t="shared" si="0"/>
        <v>0.26093007907197291</v>
      </c>
      <c r="E12" s="86">
        <v>0</v>
      </c>
      <c r="F12" s="86">
        <v>0.10725860237433534</v>
      </c>
      <c r="G12" s="86">
        <v>0.11492153334682233</v>
      </c>
      <c r="H12" s="86">
        <v>3.8749943350815233E-2</v>
      </c>
      <c r="I12" s="86">
        <v>1.0215274844139735E-2</v>
      </c>
      <c r="J12" s="86">
        <v>2.5206403888802836E-2</v>
      </c>
      <c r="K12" s="86">
        <v>2.8760278813647483E-3</v>
      </c>
      <c r="L12" s="86">
        <v>4.5223673650791137E-4</v>
      </c>
      <c r="M12" s="86">
        <v>0</v>
      </c>
      <c r="N12" s="86">
        <v>6.0887412101060722E-3</v>
      </c>
      <c r="O12" s="86">
        <v>2.1468534505138824E-2</v>
      </c>
      <c r="P12" s="86">
        <v>8.9951361820198496E-3</v>
      </c>
      <c r="Q12" s="86">
        <v>1.6141357368679662E-2</v>
      </c>
      <c r="R12" s="86">
        <v>0.05</v>
      </c>
      <c r="S12" s="86">
        <v>4.5648331083909203E-3</v>
      </c>
      <c r="T12" s="86">
        <v>8.4379955712293696E-3</v>
      </c>
      <c r="U12" s="86">
        <v>9.1343015242320788E-3</v>
      </c>
      <c r="V12" s="86">
        <v>1.1617939606382537E-2</v>
      </c>
      <c r="W12" s="86">
        <v>1.8553011772770168E-2</v>
      </c>
      <c r="X12" s="86">
        <v>0.05</v>
      </c>
      <c r="Y12" s="86">
        <v>0</v>
      </c>
      <c r="Z12" s="86">
        <v>0</v>
      </c>
      <c r="AA12" s="86">
        <v>0</v>
      </c>
      <c r="AB12" s="86">
        <v>0.01</v>
      </c>
      <c r="AC12" s="86">
        <v>0</v>
      </c>
      <c r="AD12" s="86">
        <v>7.1782848722081721E-3</v>
      </c>
    </row>
    <row r="13" spans="1:30" x14ac:dyDescent="0.2">
      <c r="A13" s="83" t="s">
        <v>47</v>
      </c>
      <c r="B13" s="84" t="s">
        <v>241</v>
      </c>
      <c r="C13" s="83">
        <v>2</v>
      </c>
      <c r="D13" s="85">
        <f t="shared" si="0"/>
        <v>0.60642446764837388</v>
      </c>
      <c r="E13" s="86">
        <v>0.15</v>
      </c>
      <c r="F13" s="86">
        <v>0.23758919019788854</v>
      </c>
      <c r="G13" s="86">
        <v>0.14352537716612673</v>
      </c>
      <c r="H13" s="86">
        <v>7.5309900284358744E-2</v>
      </c>
      <c r="I13" s="86">
        <v>4.2311971369343379E-2</v>
      </c>
      <c r="J13" s="86">
        <v>2.4965642679198482E-2</v>
      </c>
      <c r="K13" s="86">
        <v>7.0660532567221705E-3</v>
      </c>
      <c r="L13" s="86">
        <v>9.6623297909469988E-4</v>
      </c>
      <c r="M13" s="86">
        <v>0.15</v>
      </c>
      <c r="N13" s="86">
        <v>7.0000000000000007E-2</v>
      </c>
      <c r="O13" s="86">
        <v>0.03</v>
      </c>
      <c r="P13" s="86">
        <v>2.5349095225641074E-2</v>
      </c>
      <c r="Q13" s="86">
        <v>1.2240094972247451E-2</v>
      </c>
      <c r="R13" s="86">
        <v>0.05</v>
      </c>
      <c r="S13" s="86">
        <v>0.05</v>
      </c>
      <c r="T13" s="86">
        <v>4.9195658773565236E-2</v>
      </c>
      <c r="U13" s="86">
        <v>9.3605133086701459E-3</v>
      </c>
      <c r="V13" s="86">
        <v>2.3289378615435782E-2</v>
      </c>
      <c r="W13" s="86">
        <v>1.4329247793248741E-2</v>
      </c>
      <c r="X13" s="86">
        <v>0</v>
      </c>
      <c r="Y13" s="86">
        <v>0.01</v>
      </c>
      <c r="Z13" s="86">
        <v>0.01</v>
      </c>
      <c r="AA13" s="86">
        <v>0</v>
      </c>
      <c r="AB13" s="86">
        <v>0.01</v>
      </c>
      <c r="AC13" s="86">
        <v>0</v>
      </c>
      <c r="AD13" s="86">
        <v>1.735057867520684E-2</v>
      </c>
    </row>
    <row r="14" spans="1:30" x14ac:dyDescent="0.2">
      <c r="A14" s="88" t="s">
        <v>51</v>
      </c>
      <c r="B14" s="89" t="s">
        <v>242</v>
      </c>
      <c r="C14" s="88">
        <v>1</v>
      </c>
      <c r="D14" s="90">
        <f t="shared" si="0"/>
        <v>0.62481952935843532</v>
      </c>
      <c r="E14" s="91">
        <v>0</v>
      </c>
      <c r="F14" s="91">
        <v>0.1929605942913081</v>
      </c>
      <c r="G14" s="91">
        <v>0.26914768465290229</v>
      </c>
      <c r="H14" s="91">
        <v>0.16271125041422496</v>
      </c>
      <c r="I14" s="91">
        <v>6.6145217401928386E-2</v>
      </c>
      <c r="J14" s="91">
        <v>2.6566033012296566E-2</v>
      </c>
      <c r="K14" s="91">
        <v>7.0000000000000007E-2</v>
      </c>
      <c r="L14" s="91">
        <v>0</v>
      </c>
      <c r="M14" s="91">
        <v>0</v>
      </c>
      <c r="N14" s="91">
        <v>1.8386316944901417E-2</v>
      </c>
      <c r="O14" s="91">
        <v>1.5657486878057247E-2</v>
      </c>
      <c r="P14" s="91">
        <v>7.0000000000000007E-2</v>
      </c>
      <c r="Q14" s="91">
        <v>1.4384586996274632E-2</v>
      </c>
      <c r="R14" s="91">
        <v>0.05</v>
      </c>
      <c r="S14" s="91">
        <v>2.4532203472074809E-2</v>
      </c>
      <c r="T14" s="91">
        <v>7.0000000000000007E-2</v>
      </c>
      <c r="U14" s="91">
        <v>0.03</v>
      </c>
      <c r="V14" s="91">
        <v>7.0000000000000007E-2</v>
      </c>
      <c r="W14" s="91">
        <v>1.7195172093509039E-2</v>
      </c>
      <c r="X14" s="91">
        <v>0.05</v>
      </c>
      <c r="Y14" s="91">
        <v>0.01</v>
      </c>
      <c r="Z14" s="91">
        <v>0</v>
      </c>
      <c r="AA14" s="91">
        <v>0.01</v>
      </c>
      <c r="AB14" s="91">
        <v>0.01</v>
      </c>
      <c r="AC14" s="91">
        <v>0</v>
      </c>
      <c r="AD14" s="91">
        <v>1.9525125593932329E-3</v>
      </c>
    </row>
    <row r="15" spans="1:30" x14ac:dyDescent="0.2">
      <c r="A15" s="83" t="s">
        <v>52</v>
      </c>
      <c r="B15" s="92" t="s">
        <v>243</v>
      </c>
      <c r="C15" s="83">
        <v>20</v>
      </c>
      <c r="D15" s="85">
        <f t="shared" si="0"/>
        <v>0.26478250952729887</v>
      </c>
      <c r="E15" s="86">
        <v>0</v>
      </c>
      <c r="F15" s="86">
        <v>0.11810001423673391</v>
      </c>
      <c r="G15" s="86">
        <v>8.6105596891123709E-2</v>
      </c>
      <c r="H15" s="86">
        <v>6.0576898399441255E-2</v>
      </c>
      <c r="I15" s="86">
        <v>3.3978182317367545E-2</v>
      </c>
      <c r="J15" s="86">
        <v>2.4490256232993075E-2</v>
      </c>
      <c r="K15" s="86">
        <v>1.3083357678866949E-3</v>
      </c>
      <c r="L15" s="86">
        <v>8.0012408119394841E-4</v>
      </c>
      <c r="M15" s="86">
        <v>0</v>
      </c>
      <c r="N15" s="86">
        <v>2.2132328966206927E-2</v>
      </c>
      <c r="O15" s="86">
        <v>1.2806011232723643E-2</v>
      </c>
      <c r="P15" s="86">
        <v>2.4150908452421601E-3</v>
      </c>
      <c r="Q15" s="86">
        <v>1.0492689761375566E-2</v>
      </c>
      <c r="R15" s="86">
        <v>0.05</v>
      </c>
      <c r="S15" s="86">
        <v>2.025389343118561E-2</v>
      </c>
      <c r="T15" s="86">
        <v>1.4102329807495019E-2</v>
      </c>
      <c r="U15" s="86">
        <v>1.2321214658528928E-2</v>
      </c>
      <c r="V15" s="86">
        <v>2.8804525216905574E-3</v>
      </c>
      <c r="W15" s="86">
        <v>8.0271545157292561E-3</v>
      </c>
      <c r="X15" s="86">
        <v>0</v>
      </c>
      <c r="Y15" s="86">
        <v>0.01</v>
      </c>
      <c r="Z15" s="86">
        <v>0.01</v>
      </c>
      <c r="AA15" s="86">
        <v>0</v>
      </c>
      <c r="AB15" s="86">
        <v>0.01</v>
      </c>
      <c r="AC15" s="86">
        <v>0.01</v>
      </c>
      <c r="AD15" s="86">
        <v>8.7744453876799546E-3</v>
      </c>
    </row>
    <row r="16" spans="1:30" x14ac:dyDescent="0.2">
      <c r="A16" s="83" t="s">
        <v>55</v>
      </c>
      <c r="B16" s="92" t="s">
        <v>244</v>
      </c>
      <c r="C16" s="83">
        <v>5</v>
      </c>
      <c r="D16" s="85">
        <f t="shared" si="0"/>
        <v>0.47927273601875836</v>
      </c>
      <c r="E16" s="86">
        <v>0.15</v>
      </c>
      <c r="F16" s="86">
        <v>9.0909359315051147E-2</v>
      </c>
      <c r="G16" s="86">
        <v>0.15812236744699767</v>
      </c>
      <c r="H16" s="86">
        <v>8.0241009256709558E-2</v>
      </c>
      <c r="I16" s="86">
        <v>3.6452573781303378E-2</v>
      </c>
      <c r="J16" s="86">
        <v>2.490083057950529E-2</v>
      </c>
      <c r="K16" s="86">
        <v>1.8887604895900894E-2</v>
      </c>
      <c r="L16" s="86">
        <v>0</v>
      </c>
      <c r="M16" s="86">
        <v>0.15</v>
      </c>
      <c r="N16" s="86">
        <v>1.3400088570229039E-2</v>
      </c>
      <c r="O16" s="86">
        <v>1.5687879688074374E-2</v>
      </c>
      <c r="P16" s="86">
        <v>1.7572042836378188E-2</v>
      </c>
      <c r="Q16" s="86">
        <v>1.6771532844137814E-2</v>
      </c>
      <c r="R16" s="86">
        <v>0</v>
      </c>
      <c r="S16" s="86">
        <v>2.7477815376231729E-2</v>
      </c>
      <c r="T16" s="86">
        <v>7.9640340538951818E-3</v>
      </c>
      <c r="U16" s="86">
        <v>1.3860326062630006E-2</v>
      </c>
      <c r="V16" s="86">
        <v>3.4028345515016913E-2</v>
      </c>
      <c r="W16" s="86">
        <v>2.3424849915149749E-2</v>
      </c>
      <c r="X16" s="86">
        <v>0.05</v>
      </c>
      <c r="Y16" s="86">
        <v>0</v>
      </c>
      <c r="Z16" s="86">
        <v>0</v>
      </c>
      <c r="AA16" s="86">
        <v>0</v>
      </c>
      <c r="AB16" s="86">
        <v>0.01</v>
      </c>
      <c r="AC16" s="86">
        <v>0</v>
      </c>
      <c r="AD16" s="86">
        <v>1.8844811900305819E-2</v>
      </c>
    </row>
    <row r="17" spans="1:30" x14ac:dyDescent="0.2">
      <c r="A17" s="83" t="s">
        <v>59</v>
      </c>
      <c r="B17" s="92" t="s">
        <v>245</v>
      </c>
      <c r="C17" s="83">
        <v>31</v>
      </c>
      <c r="D17" s="85">
        <f t="shared" si="0"/>
        <v>0.19678083574814065</v>
      </c>
      <c r="E17" s="86">
        <v>0</v>
      </c>
      <c r="F17" s="86">
        <v>5.1236736693743457E-2</v>
      </c>
      <c r="G17" s="86">
        <v>9.4118688140273868E-2</v>
      </c>
      <c r="H17" s="86">
        <v>5.142541091412333E-2</v>
      </c>
      <c r="I17" s="86">
        <v>2.5631357197984404E-2</v>
      </c>
      <c r="J17" s="86">
        <v>2.570920291964527E-2</v>
      </c>
      <c r="K17" s="86">
        <v>8.4850796493653221E-5</v>
      </c>
      <c r="L17" s="86">
        <v>0</v>
      </c>
      <c r="M17" s="86">
        <v>0</v>
      </c>
      <c r="N17" s="86">
        <v>9.4501334632057527E-3</v>
      </c>
      <c r="O17" s="86">
        <v>1.5311959135790596E-2</v>
      </c>
      <c r="P17" s="86">
        <v>6.9778473941718728E-3</v>
      </c>
      <c r="Q17" s="86">
        <v>1.2836052338323035E-2</v>
      </c>
      <c r="R17" s="86">
        <v>0</v>
      </c>
      <c r="S17" s="86">
        <v>6.6607443622521932E-3</v>
      </c>
      <c r="T17" s="86">
        <v>3.3523730768401163E-4</v>
      </c>
      <c r="U17" s="86">
        <v>0</v>
      </c>
      <c r="V17" s="86">
        <v>1.0490277468041296E-2</v>
      </c>
      <c r="W17" s="86">
        <v>4.8383945688007949E-3</v>
      </c>
      <c r="X17" s="86">
        <v>0.05</v>
      </c>
      <c r="Y17" s="86">
        <v>0</v>
      </c>
      <c r="Z17" s="86">
        <v>0.01</v>
      </c>
      <c r="AA17" s="86">
        <v>0</v>
      </c>
      <c r="AB17" s="86">
        <v>0.01</v>
      </c>
      <c r="AC17" s="86">
        <v>0</v>
      </c>
      <c r="AD17" s="86">
        <v>8.4547787957477694E-3</v>
      </c>
    </row>
    <row r="18" spans="1:30" x14ac:dyDescent="0.2">
      <c r="A18" s="93" t="s">
        <v>60</v>
      </c>
      <c r="B18" s="94" t="s">
        <v>246</v>
      </c>
      <c r="C18" s="93">
        <v>32</v>
      </c>
      <c r="D18" s="95">
        <f t="shared" si="0"/>
        <v>0.1828045557951184</v>
      </c>
      <c r="E18" s="96">
        <v>0</v>
      </c>
      <c r="F18" s="96">
        <v>0.1213361142502084</v>
      </c>
      <c r="G18" s="96">
        <v>5.2843118659969671E-2</v>
      </c>
      <c r="H18" s="96">
        <v>8.6253228849403462E-3</v>
      </c>
      <c r="I18" s="96">
        <v>8.6253228849403462E-3</v>
      </c>
      <c r="J18" s="96">
        <v>0</v>
      </c>
      <c r="K18" s="96">
        <v>0</v>
      </c>
      <c r="L18" s="96">
        <v>0</v>
      </c>
      <c r="M18" s="96">
        <v>0</v>
      </c>
      <c r="N18" s="96">
        <v>1.856556985417708E-2</v>
      </c>
      <c r="O18" s="96">
        <v>1.6632825238633554E-2</v>
      </c>
      <c r="P18" s="96">
        <v>3.6880550258996054E-3</v>
      </c>
      <c r="Q18" s="96">
        <v>1.5830571789559014E-2</v>
      </c>
      <c r="R18" s="96">
        <v>0.05</v>
      </c>
      <c r="S18" s="96">
        <v>1.6619092341939149E-2</v>
      </c>
      <c r="T18" s="96">
        <v>1.6636960547014013E-2</v>
      </c>
      <c r="U18" s="96">
        <v>1.5507476377337147E-2</v>
      </c>
      <c r="V18" s="96">
        <v>4.5587941421110266E-3</v>
      </c>
      <c r="W18" s="96">
        <v>9.661890247084054E-3</v>
      </c>
      <c r="X18" s="96">
        <v>0</v>
      </c>
      <c r="Y18" s="96">
        <v>0</v>
      </c>
      <c r="Z18" s="96">
        <v>0</v>
      </c>
      <c r="AA18" s="96">
        <v>0</v>
      </c>
      <c r="AB18" s="96">
        <v>0</v>
      </c>
      <c r="AC18" s="96">
        <v>0</v>
      </c>
      <c r="AD18" s="96">
        <v>6.4779973464234248E-3</v>
      </c>
    </row>
    <row r="19" spans="1:30" x14ac:dyDescent="0.2">
      <c r="A19" s="83" t="s">
        <v>61</v>
      </c>
      <c r="B19" s="92" t="s">
        <v>247</v>
      </c>
      <c r="C19" s="83">
        <v>25</v>
      </c>
      <c r="D19" s="85">
        <f t="shared" si="0"/>
        <v>0.23371473465331241</v>
      </c>
      <c r="E19" s="86">
        <v>0</v>
      </c>
      <c r="F19" s="86">
        <v>8.55458723355359E-2</v>
      </c>
      <c r="G19" s="86">
        <v>0.10412222593414493</v>
      </c>
      <c r="H19" s="86">
        <v>4.4046636383631571E-2</v>
      </c>
      <c r="I19" s="86">
        <v>6.8087748863995103E-3</v>
      </c>
      <c r="J19" s="86">
        <v>2.8713022778728326E-2</v>
      </c>
      <c r="K19" s="86">
        <v>8.5248387185037338E-3</v>
      </c>
      <c r="L19" s="86">
        <v>0</v>
      </c>
      <c r="M19" s="86">
        <v>0</v>
      </c>
      <c r="N19" s="86">
        <v>4.0938151715659253E-3</v>
      </c>
      <c r="O19" s="86">
        <v>1.1343641910075875E-3</v>
      </c>
      <c r="P19" s="86">
        <v>1.7159477018293321E-2</v>
      </c>
      <c r="Q19" s="86">
        <v>1.3158215954669072E-2</v>
      </c>
      <c r="R19" s="86">
        <v>0.05</v>
      </c>
      <c r="S19" s="86">
        <v>0</v>
      </c>
      <c r="T19" s="86">
        <v>8.8598932001107602E-3</v>
      </c>
      <c r="U19" s="86">
        <v>1.2832516054515955E-2</v>
      </c>
      <c r="V19" s="86">
        <v>2.0975017978606601E-2</v>
      </c>
      <c r="W19" s="86">
        <v>1.1337028950770673E-2</v>
      </c>
      <c r="X19" s="86">
        <v>0</v>
      </c>
      <c r="Y19" s="86">
        <v>0.01</v>
      </c>
      <c r="Z19" s="86">
        <v>0.01</v>
      </c>
      <c r="AA19" s="86">
        <v>0.01</v>
      </c>
      <c r="AB19" s="86">
        <v>0</v>
      </c>
      <c r="AC19" s="86">
        <v>0</v>
      </c>
      <c r="AD19" s="86">
        <v>2.0117769750140957E-2</v>
      </c>
    </row>
    <row r="20" spans="1:30" x14ac:dyDescent="0.2">
      <c r="A20" s="83" t="s">
        <v>62</v>
      </c>
      <c r="B20" s="92" t="s">
        <v>248</v>
      </c>
      <c r="C20" s="83">
        <v>11</v>
      </c>
      <c r="D20" s="85">
        <f t="shared" si="0"/>
        <v>0.32753238035468085</v>
      </c>
      <c r="E20" s="86">
        <v>0</v>
      </c>
      <c r="F20" s="86">
        <v>0.10794324718821499</v>
      </c>
      <c r="G20" s="86">
        <v>0.1739631025317844</v>
      </c>
      <c r="H20" s="86">
        <v>4.5626030634681437E-2</v>
      </c>
      <c r="I20" s="86">
        <v>1.041246610236315E-2</v>
      </c>
      <c r="J20" s="86">
        <v>2.0635412590661775E-2</v>
      </c>
      <c r="K20" s="86">
        <v>1.4578151941656512E-2</v>
      </c>
      <c r="L20" s="86">
        <v>0</v>
      </c>
      <c r="M20" s="86">
        <v>0</v>
      </c>
      <c r="N20" s="86">
        <v>1.3145325049490314E-2</v>
      </c>
      <c r="O20" s="86">
        <v>1.622299628879291E-2</v>
      </c>
      <c r="P20" s="86">
        <v>4.9663951284158327E-2</v>
      </c>
      <c r="Q20" s="86">
        <v>1.2461449337857203E-2</v>
      </c>
      <c r="R20" s="86">
        <v>0</v>
      </c>
      <c r="S20" s="86">
        <v>1.6449525227916241E-2</v>
      </c>
      <c r="T20" s="86">
        <v>5.6140396246237532E-3</v>
      </c>
      <c r="U20" s="86">
        <v>1.1620844432259613E-2</v>
      </c>
      <c r="V20" s="86">
        <v>4.3593193924371165E-2</v>
      </c>
      <c r="W20" s="86">
        <v>0.03</v>
      </c>
      <c r="X20" s="86">
        <v>0.05</v>
      </c>
      <c r="Y20" s="86">
        <v>0</v>
      </c>
      <c r="Z20" s="86">
        <v>0.01</v>
      </c>
      <c r="AA20" s="86">
        <v>0.01</v>
      </c>
      <c r="AB20" s="86">
        <v>0</v>
      </c>
      <c r="AC20" s="86">
        <v>0.01</v>
      </c>
      <c r="AD20" s="86">
        <v>3.1350245505298632E-3</v>
      </c>
    </row>
    <row r="21" spans="1:30" x14ac:dyDescent="0.2">
      <c r="A21" s="76" t="s">
        <v>249</v>
      </c>
      <c r="B21" s="92" t="s">
        <v>250</v>
      </c>
      <c r="C21" s="83">
        <v>13</v>
      </c>
      <c r="D21" s="85">
        <f t="shared" si="0"/>
        <v>0.30342161442057974</v>
      </c>
      <c r="E21" s="86">
        <v>0</v>
      </c>
      <c r="F21" s="86">
        <v>0.10667965666450954</v>
      </c>
      <c r="G21" s="86">
        <v>0.1418068592744241</v>
      </c>
      <c r="H21" s="86">
        <v>5.4935098481646086E-2</v>
      </c>
      <c r="I21" s="86">
        <v>2.351740155723854E-2</v>
      </c>
      <c r="J21" s="86">
        <v>2.5158059494356188E-2</v>
      </c>
      <c r="K21" s="86">
        <v>6.2596374300513532E-3</v>
      </c>
      <c r="L21" s="86">
        <v>0</v>
      </c>
      <c r="M21" s="86">
        <v>0</v>
      </c>
      <c r="N21" s="86">
        <v>9.5489652138076864E-3</v>
      </c>
      <c r="O21" s="86">
        <v>1.783117322851693E-2</v>
      </c>
      <c r="P21" s="86">
        <v>1.2246684081611539E-2</v>
      </c>
      <c r="Q21" s="86">
        <v>1.3089725632584344E-2</v>
      </c>
      <c r="R21" s="86">
        <v>0.05</v>
      </c>
      <c r="S21" s="86">
        <v>3.9631085079890318E-3</v>
      </c>
      <c r="T21" s="86">
        <v>1.4410780221351525E-2</v>
      </c>
      <c r="U21" s="86">
        <v>1.2424737778089919E-2</v>
      </c>
      <c r="V21" s="86">
        <v>1.1600755003092249E-2</v>
      </c>
      <c r="W21" s="86">
        <v>1.4554372303425029E-2</v>
      </c>
      <c r="X21" s="86">
        <v>0.05</v>
      </c>
      <c r="Y21" s="86">
        <v>0.01</v>
      </c>
      <c r="Z21" s="86">
        <v>0.01</v>
      </c>
      <c r="AA21" s="86">
        <v>0</v>
      </c>
      <c r="AB21" s="86">
        <v>0.01</v>
      </c>
      <c r="AC21" s="86">
        <v>0</v>
      </c>
      <c r="AD21" s="86">
        <v>8.8162139684653685E-3</v>
      </c>
    </row>
    <row r="22" spans="1:30" x14ac:dyDescent="0.2">
      <c r="A22" s="83" t="s">
        <v>65</v>
      </c>
      <c r="B22" s="92" t="s">
        <v>251</v>
      </c>
      <c r="C22" s="83">
        <v>24</v>
      </c>
      <c r="D22" s="85">
        <f t="shared" si="0"/>
        <v>0.24957066577887244</v>
      </c>
      <c r="E22" s="86">
        <v>0</v>
      </c>
      <c r="F22" s="86">
        <v>6.5663953827443319E-2</v>
      </c>
      <c r="G22" s="86">
        <v>0.13344624695537097</v>
      </c>
      <c r="H22" s="86">
        <v>5.0460464996058163E-2</v>
      </c>
      <c r="I22" s="86">
        <v>2.4925281954038786E-2</v>
      </c>
      <c r="J22" s="86">
        <v>2.4399418524018605E-2</v>
      </c>
      <c r="K22" s="86">
        <v>1.1357645180007697E-3</v>
      </c>
      <c r="L22" s="86">
        <v>0</v>
      </c>
      <c r="M22" s="86">
        <v>0</v>
      </c>
      <c r="N22" s="86">
        <v>1.2626132339753531E-2</v>
      </c>
      <c r="O22" s="86">
        <v>1.4423928818750107E-2</v>
      </c>
      <c r="P22" s="86">
        <v>6.4605462727487925E-3</v>
      </c>
      <c r="Q22" s="86">
        <v>1.9950365688505788E-2</v>
      </c>
      <c r="R22" s="86">
        <v>0</v>
      </c>
      <c r="S22" s="86">
        <v>1.2202980707685111E-2</v>
      </c>
      <c r="T22" s="86">
        <v>1.5085494683339796E-2</v>
      </c>
      <c r="U22" s="86">
        <v>1.1298928370627369E-2</v>
      </c>
      <c r="V22" s="86">
        <v>5.2568046872620072E-3</v>
      </c>
      <c r="W22" s="86">
        <v>2.7088055508814508E-2</v>
      </c>
      <c r="X22" s="86">
        <v>0.05</v>
      </c>
      <c r="Y22" s="86">
        <v>0</v>
      </c>
      <c r="Z22" s="86">
        <v>0.01</v>
      </c>
      <c r="AA22" s="86">
        <v>0</v>
      </c>
      <c r="AB22" s="86">
        <v>0</v>
      </c>
      <c r="AC22" s="86">
        <v>0</v>
      </c>
      <c r="AD22" s="86">
        <v>1.4716963705327291E-2</v>
      </c>
    </row>
    <row r="23" spans="1:30" x14ac:dyDescent="0.2">
      <c r="A23" s="83" t="s">
        <v>66</v>
      </c>
      <c r="B23" s="92" t="s">
        <v>252</v>
      </c>
      <c r="C23" s="83">
        <v>8</v>
      </c>
      <c r="D23" s="85">
        <f t="shared" si="0"/>
        <v>0.38157066313009419</v>
      </c>
      <c r="E23" s="86">
        <v>0</v>
      </c>
      <c r="F23" s="86">
        <v>0.13195584467972199</v>
      </c>
      <c r="G23" s="86">
        <v>0.15610476861327005</v>
      </c>
      <c r="H23" s="86">
        <v>9.3510049837102149E-2</v>
      </c>
      <c r="I23" s="86">
        <v>6.1606153081157605E-2</v>
      </c>
      <c r="J23" s="86">
        <v>0.03</v>
      </c>
      <c r="K23" s="86">
        <v>1.9038967559445519E-3</v>
      </c>
      <c r="L23" s="86">
        <v>0</v>
      </c>
      <c r="M23" s="86">
        <v>0</v>
      </c>
      <c r="N23" s="86">
        <v>2.554790961958333E-2</v>
      </c>
      <c r="O23" s="86">
        <v>2.1855812586384325E-2</v>
      </c>
      <c r="P23" s="86">
        <v>3.2198012802495883E-3</v>
      </c>
      <c r="Q23" s="86">
        <v>1.4551444274392755E-2</v>
      </c>
      <c r="R23" s="86">
        <v>0.05</v>
      </c>
      <c r="S23" s="86">
        <v>1.6780876919111992E-2</v>
      </c>
      <c r="T23" s="86">
        <v>2.26604083307585E-2</v>
      </c>
      <c r="U23" s="86">
        <v>1.2034066349840599E-2</v>
      </c>
      <c r="V23" s="86">
        <v>3.6278596486700953E-3</v>
      </c>
      <c r="W23" s="86">
        <v>2.3977749193194082E-2</v>
      </c>
      <c r="X23" s="86">
        <v>0.05</v>
      </c>
      <c r="Y23" s="86">
        <v>0.01</v>
      </c>
      <c r="Z23" s="86">
        <v>0</v>
      </c>
      <c r="AA23" s="86">
        <v>0</v>
      </c>
      <c r="AB23" s="86">
        <v>0.01</v>
      </c>
      <c r="AC23" s="86">
        <v>0</v>
      </c>
      <c r="AD23" s="86">
        <v>2.380468509080676E-2</v>
      </c>
    </row>
    <row r="24" spans="1:30" x14ac:dyDescent="0.2">
      <c r="A24" s="83" t="s">
        <v>67</v>
      </c>
      <c r="B24" s="92" t="s">
        <v>253</v>
      </c>
      <c r="C24" s="83">
        <v>4</v>
      </c>
      <c r="D24" s="85">
        <f t="shared" si="0"/>
        <v>0.47938014465117551</v>
      </c>
      <c r="E24" s="86">
        <v>0.15</v>
      </c>
      <c r="F24" s="86">
        <v>0.10736536498910168</v>
      </c>
      <c r="G24" s="86">
        <v>0.15852760996254731</v>
      </c>
      <c r="H24" s="86">
        <v>6.3487169699526502E-2</v>
      </c>
      <c r="I24" s="86">
        <v>2.3260647955637339E-2</v>
      </c>
      <c r="J24" s="86">
        <v>2.4437058258022094E-2</v>
      </c>
      <c r="K24" s="86">
        <v>1.5789463485867072E-2</v>
      </c>
      <c r="L24" s="86">
        <v>0</v>
      </c>
      <c r="M24" s="86">
        <v>0.15</v>
      </c>
      <c r="N24" s="86">
        <v>8.4454255386008387E-3</v>
      </c>
      <c r="O24" s="86">
        <v>0</v>
      </c>
      <c r="P24" s="86">
        <v>2.4548838260040874E-2</v>
      </c>
      <c r="Q24" s="86">
        <v>1.4414388356587836E-2</v>
      </c>
      <c r="R24" s="86">
        <v>0.05</v>
      </c>
      <c r="S24" s="86">
        <v>9.9567128338721288E-3</v>
      </c>
      <c r="T24" s="86">
        <v>1.0355100257355445E-2</v>
      </c>
      <c r="U24" s="86">
        <v>1.148346894687168E-2</v>
      </c>
      <c r="V24" s="86">
        <v>3.1723985409812E-2</v>
      </c>
      <c r="W24" s="86">
        <v>1.0526546157986663E-2</v>
      </c>
      <c r="X24" s="86">
        <v>0.05</v>
      </c>
      <c r="Y24" s="86">
        <v>0.01</v>
      </c>
      <c r="Z24" s="86">
        <v>0.01</v>
      </c>
      <c r="AA24" s="86">
        <v>0</v>
      </c>
      <c r="AB24" s="86">
        <v>0.01</v>
      </c>
      <c r="AC24" s="86">
        <v>0.01</v>
      </c>
      <c r="AD24" s="86">
        <v>4.4385091905214816E-3</v>
      </c>
    </row>
    <row r="25" spans="1:30" x14ac:dyDescent="0.2">
      <c r="A25" s="83" t="s">
        <v>70</v>
      </c>
      <c r="B25" s="92" t="s">
        <v>254</v>
      </c>
      <c r="C25" s="83">
        <v>14</v>
      </c>
      <c r="D25" s="85">
        <f t="shared" si="0"/>
        <v>0.30039808610007429</v>
      </c>
      <c r="E25" s="86">
        <v>0</v>
      </c>
      <c r="F25" s="86">
        <v>0.1160298101523634</v>
      </c>
      <c r="G25" s="86">
        <v>0.12422427180987233</v>
      </c>
      <c r="H25" s="86">
        <v>6.0144004137838547E-2</v>
      </c>
      <c r="I25" s="86">
        <v>2.8998111463739727E-2</v>
      </c>
      <c r="J25" s="86">
        <v>2.6524645560910918E-2</v>
      </c>
      <c r="K25" s="86">
        <v>4.6212471131878959E-3</v>
      </c>
      <c r="L25" s="86">
        <v>0</v>
      </c>
      <c r="M25" s="86">
        <v>0</v>
      </c>
      <c r="N25" s="86">
        <v>1.7414148552708793E-2</v>
      </c>
      <c r="O25" s="86">
        <v>1.3568294749495825E-2</v>
      </c>
      <c r="P25" s="86">
        <v>8.2056265001205532E-3</v>
      </c>
      <c r="Q25" s="86">
        <v>1.2414620197529353E-2</v>
      </c>
      <c r="R25" s="86">
        <v>0.05</v>
      </c>
      <c r="S25" s="86">
        <v>1.4427120152508867E-2</v>
      </c>
      <c r="T25" s="86">
        <v>1.1859775224191557E-2</v>
      </c>
      <c r="U25" s="86">
        <v>1.2468904459596357E-2</v>
      </c>
      <c r="V25" s="86">
        <v>5.3160582164477116E-3</v>
      </c>
      <c r="W25" s="86">
        <v>1.3251605527825526E-2</v>
      </c>
      <c r="X25" s="86">
        <v>0.05</v>
      </c>
      <c r="Y25" s="86">
        <v>0</v>
      </c>
      <c r="Z25" s="86">
        <v>0.01</v>
      </c>
      <c r="AA25" s="86">
        <v>0</v>
      </c>
      <c r="AB25" s="86">
        <v>0.01</v>
      </c>
      <c r="AC25" s="86">
        <v>0.01</v>
      </c>
      <c r="AD25" s="86">
        <v>1.3279283818111904E-3</v>
      </c>
    </row>
    <row r="26" spans="1:30" x14ac:dyDescent="0.2">
      <c r="A26" s="83" t="s">
        <v>71</v>
      </c>
      <c r="B26" s="92" t="s">
        <v>255</v>
      </c>
      <c r="C26" s="83">
        <v>26</v>
      </c>
      <c r="D26" s="85">
        <f t="shared" si="0"/>
        <v>0.23037084672481611</v>
      </c>
      <c r="E26" s="86">
        <v>0</v>
      </c>
      <c r="F26" s="86">
        <v>6.4959241624012259E-2</v>
      </c>
      <c r="G26" s="86">
        <v>0.12647802993767632</v>
      </c>
      <c r="H26" s="86">
        <v>3.893357516312753E-2</v>
      </c>
      <c r="I26" s="86">
        <v>9.710003258331391E-3</v>
      </c>
      <c r="J26" s="86">
        <v>2.6092462976936393E-2</v>
      </c>
      <c r="K26" s="86">
        <v>2.3625813187664051E-3</v>
      </c>
      <c r="L26" s="86">
        <v>7.6852760909334658E-4</v>
      </c>
      <c r="M26" s="86">
        <v>0</v>
      </c>
      <c r="N26" s="86">
        <v>3.9798023227416981E-3</v>
      </c>
      <c r="O26" s="86">
        <v>1.5648936739981006E-2</v>
      </c>
      <c r="P26" s="86">
        <v>1.0334215124463673E-2</v>
      </c>
      <c r="Q26" s="86">
        <v>0.03</v>
      </c>
      <c r="R26" s="86">
        <v>0</v>
      </c>
      <c r="S26" s="86">
        <v>4.9962874368258865E-3</v>
      </c>
      <c r="T26" s="86">
        <v>9.9941409637119352E-3</v>
      </c>
      <c r="U26" s="86">
        <v>1.2238981711423336E-2</v>
      </c>
      <c r="V26" s="86">
        <v>1.104844106787237E-2</v>
      </c>
      <c r="W26" s="86">
        <v>1.0257704682514737E-2</v>
      </c>
      <c r="X26" s="86">
        <v>0.05</v>
      </c>
      <c r="Y26" s="86">
        <v>0.01</v>
      </c>
      <c r="Z26" s="86">
        <v>0.01</v>
      </c>
      <c r="AA26" s="86">
        <v>0</v>
      </c>
      <c r="AB26" s="86">
        <v>0</v>
      </c>
      <c r="AC26" s="86">
        <v>0</v>
      </c>
      <c r="AD26" s="86">
        <v>1.2938761512153962E-2</v>
      </c>
    </row>
    <row r="27" spans="1:30" x14ac:dyDescent="0.2">
      <c r="A27" s="83" t="s">
        <v>74</v>
      </c>
      <c r="B27" s="92" t="s">
        <v>256</v>
      </c>
      <c r="C27" s="83">
        <v>6</v>
      </c>
      <c r="D27" s="85">
        <f t="shared" si="0"/>
        <v>0.43352210342173381</v>
      </c>
      <c r="E27" s="86">
        <v>0.15</v>
      </c>
      <c r="F27" s="86">
        <v>0.13320151753616616</v>
      </c>
      <c r="G27" s="86">
        <v>0.10056987849720002</v>
      </c>
      <c r="H27" s="86">
        <v>4.9750707388367614E-2</v>
      </c>
      <c r="I27" s="86">
        <v>2.1768374502931748E-2</v>
      </c>
      <c r="J27" s="86">
        <v>2.4753273757662678E-2</v>
      </c>
      <c r="K27" s="86">
        <v>3.2290591277731855E-3</v>
      </c>
      <c r="L27" s="86">
        <v>0</v>
      </c>
      <c r="M27" s="86">
        <v>0.15</v>
      </c>
      <c r="N27" s="86">
        <v>8.538249455688934E-3</v>
      </c>
      <c r="O27" s="86">
        <v>1.9568694502000789E-2</v>
      </c>
      <c r="P27" s="86">
        <v>1.1062698474274142E-2</v>
      </c>
      <c r="Q27" s="86">
        <v>2.3736864610958888E-2</v>
      </c>
      <c r="R27" s="86">
        <v>0.05</v>
      </c>
      <c r="S27" s="86">
        <v>2.029501049324341E-2</v>
      </c>
      <c r="T27" s="86">
        <v>4.2505021034294011E-3</v>
      </c>
      <c r="U27" s="86">
        <v>8.9574721218717204E-3</v>
      </c>
      <c r="V27" s="86">
        <v>7.8175176229104727E-3</v>
      </c>
      <c r="W27" s="86">
        <v>2.2952618720984707E-2</v>
      </c>
      <c r="X27" s="86">
        <v>0.05</v>
      </c>
      <c r="Y27" s="86">
        <v>0</v>
      </c>
      <c r="Z27" s="86">
        <v>0</v>
      </c>
      <c r="AA27" s="86">
        <v>0</v>
      </c>
      <c r="AB27" s="86">
        <v>0</v>
      </c>
      <c r="AC27" s="86">
        <v>0</v>
      </c>
      <c r="AD27" s="86">
        <v>6.5917679280037157E-3</v>
      </c>
    </row>
    <row r="28" spans="1:30" x14ac:dyDescent="0.2">
      <c r="A28" s="83" t="s">
        <v>77</v>
      </c>
      <c r="B28" s="92" t="s">
        <v>257</v>
      </c>
      <c r="C28" s="83">
        <v>23</v>
      </c>
      <c r="D28" s="85">
        <f t="shared" si="0"/>
        <v>0.25603303936687077</v>
      </c>
      <c r="E28" s="86">
        <v>0</v>
      </c>
      <c r="F28" s="86">
        <v>5.0968395265821448E-2</v>
      </c>
      <c r="G28" s="86">
        <v>0.14942599364820452</v>
      </c>
      <c r="H28" s="86">
        <v>5.5638650452844801E-2</v>
      </c>
      <c r="I28" s="86">
        <v>3.0703568955198855E-2</v>
      </c>
      <c r="J28" s="86">
        <v>2.493508149764595E-2</v>
      </c>
      <c r="K28" s="86">
        <v>0</v>
      </c>
      <c r="L28" s="86">
        <v>0</v>
      </c>
      <c r="M28" s="86">
        <v>0</v>
      </c>
      <c r="N28" s="86">
        <v>0</v>
      </c>
      <c r="O28" s="86">
        <v>0</v>
      </c>
      <c r="P28" s="86">
        <v>5.4699382500200313E-3</v>
      </c>
      <c r="Q28" s="86">
        <v>1.5924885101849945E-2</v>
      </c>
      <c r="R28" s="86">
        <v>0</v>
      </c>
      <c r="S28" s="86">
        <v>2.957357191395147E-2</v>
      </c>
      <c r="T28" s="86">
        <v>2.6096752684396974E-2</v>
      </c>
      <c r="U28" s="86">
        <v>1.4082900691620579E-2</v>
      </c>
      <c r="V28" s="86">
        <v>9.6587813321699946E-3</v>
      </c>
      <c r="W28" s="86">
        <v>2.1985490482093546E-2</v>
      </c>
      <c r="X28" s="86">
        <v>0.05</v>
      </c>
      <c r="Y28" s="86">
        <v>0.01</v>
      </c>
      <c r="Z28" s="86">
        <v>0.01</v>
      </c>
      <c r="AA28" s="86">
        <v>0</v>
      </c>
      <c r="AB28" s="86">
        <v>0</v>
      </c>
      <c r="AC28" s="86">
        <v>0</v>
      </c>
      <c r="AD28" s="86">
        <v>7.6020684579233971E-3</v>
      </c>
    </row>
    <row r="29" spans="1:30" x14ac:dyDescent="0.2">
      <c r="A29" s="83" t="s">
        <v>78</v>
      </c>
      <c r="B29" s="92" t="s">
        <v>258</v>
      </c>
      <c r="C29" s="83">
        <v>27</v>
      </c>
      <c r="D29" s="85">
        <f t="shared" si="0"/>
        <v>0.22587199981032102</v>
      </c>
      <c r="E29" s="86">
        <v>0</v>
      </c>
      <c r="F29" s="86">
        <v>9.884171009482165E-2</v>
      </c>
      <c r="G29" s="86">
        <v>7.1660398381281451E-2</v>
      </c>
      <c r="H29" s="86">
        <v>5.5369891334217936E-2</v>
      </c>
      <c r="I29" s="86">
        <v>2.5905212531200403E-2</v>
      </c>
      <c r="J29" s="86">
        <v>2.3903057405848818E-2</v>
      </c>
      <c r="K29" s="86">
        <v>5.5616213971687155E-3</v>
      </c>
      <c r="L29" s="86">
        <v>0</v>
      </c>
      <c r="M29" s="86">
        <v>0</v>
      </c>
      <c r="N29" s="86">
        <v>6.9800485033511732E-3</v>
      </c>
      <c r="O29" s="86">
        <v>1.4886434920210656E-2</v>
      </c>
      <c r="P29" s="86">
        <v>9.8493222837367327E-3</v>
      </c>
      <c r="Q29" s="86">
        <v>1.0920808127281261E-2</v>
      </c>
      <c r="R29" s="86">
        <v>0.05</v>
      </c>
      <c r="S29" s="86">
        <v>6.2050962602418196E-3</v>
      </c>
      <c r="T29" s="86">
        <v>0</v>
      </c>
      <c r="U29" s="86">
        <v>0</v>
      </c>
      <c r="V29" s="86">
        <v>7.9899879442722598E-3</v>
      </c>
      <c r="W29" s="86">
        <v>3.5837167762631564E-3</v>
      </c>
      <c r="X29" s="86">
        <v>0.05</v>
      </c>
      <c r="Y29" s="86">
        <v>0</v>
      </c>
      <c r="Z29" s="86">
        <v>0</v>
      </c>
      <c r="AA29" s="86">
        <v>0</v>
      </c>
      <c r="AB29" s="86">
        <v>0</v>
      </c>
      <c r="AC29" s="86">
        <v>0</v>
      </c>
      <c r="AD29" s="86">
        <v>1.0086693660746038E-2</v>
      </c>
    </row>
    <row r="30" spans="1:30" x14ac:dyDescent="0.2">
      <c r="A30" s="83" t="s">
        <v>79</v>
      </c>
      <c r="B30" s="92" t="s">
        <v>259</v>
      </c>
      <c r="C30" s="83">
        <v>29</v>
      </c>
      <c r="D30" s="85">
        <f t="shared" si="0"/>
        <v>0.22334114768356916</v>
      </c>
      <c r="E30" s="86">
        <v>0</v>
      </c>
      <c r="F30" s="86">
        <v>5.7630659356267051E-2</v>
      </c>
      <c r="G30" s="86">
        <v>0.10821110051704801</v>
      </c>
      <c r="H30" s="86">
        <v>5.7499387810254085E-2</v>
      </c>
      <c r="I30" s="86">
        <v>2.9798085711252229E-2</v>
      </c>
      <c r="J30" s="86">
        <v>2.4222390438017678E-2</v>
      </c>
      <c r="K30" s="86">
        <v>3.4789116609841779E-3</v>
      </c>
      <c r="L30" s="86">
        <v>0</v>
      </c>
      <c r="M30" s="86">
        <v>0</v>
      </c>
      <c r="N30" s="86">
        <v>1.0922689959526381E-2</v>
      </c>
      <c r="O30" s="86">
        <v>1.9646667699993531E-2</v>
      </c>
      <c r="P30" s="86">
        <v>5.4283638677270476E-3</v>
      </c>
      <c r="Q30" s="86">
        <v>1.3665392017876789E-2</v>
      </c>
      <c r="R30" s="86">
        <v>0</v>
      </c>
      <c r="S30" s="86">
        <v>7.9675458111433048E-3</v>
      </c>
      <c r="T30" s="86">
        <v>1.2415103151435538E-2</v>
      </c>
      <c r="U30" s="86">
        <v>8.3108902778283519E-3</v>
      </c>
      <c r="V30" s="86">
        <v>4.6535269799802027E-3</v>
      </c>
      <c r="W30" s="86">
        <v>1.2589429082472714E-2</v>
      </c>
      <c r="X30" s="86">
        <v>0.05</v>
      </c>
      <c r="Y30" s="86">
        <v>0</v>
      </c>
      <c r="Z30" s="86">
        <v>0.01</v>
      </c>
      <c r="AA30" s="86">
        <v>0</v>
      </c>
      <c r="AB30" s="86">
        <v>0</v>
      </c>
      <c r="AC30" s="86">
        <v>0</v>
      </c>
      <c r="AD30" s="86">
        <v>1.0242151025331206E-2</v>
      </c>
    </row>
    <row r="31" spans="1:30" x14ac:dyDescent="0.2">
      <c r="A31" s="83" t="s">
        <v>80</v>
      </c>
      <c r="B31" s="92" t="s">
        <v>260</v>
      </c>
      <c r="C31" s="83">
        <v>10</v>
      </c>
      <c r="D31" s="85">
        <f t="shared" si="0"/>
        <v>0.33850676281490716</v>
      </c>
      <c r="E31" s="86">
        <v>0</v>
      </c>
      <c r="F31" s="86">
        <v>0.12172181797425856</v>
      </c>
      <c r="G31" s="86">
        <v>0.16699469523909266</v>
      </c>
      <c r="H31" s="86">
        <v>4.9790249601555911E-2</v>
      </c>
      <c r="I31" s="86">
        <v>2.1764071920764953E-2</v>
      </c>
      <c r="J31" s="86">
        <v>2.4846139788759807E-2</v>
      </c>
      <c r="K31" s="86">
        <v>3.1800378920311522E-3</v>
      </c>
      <c r="L31" s="86">
        <v>0</v>
      </c>
      <c r="M31" s="86">
        <v>0</v>
      </c>
      <c r="N31" s="86">
        <v>1.4554933006846286E-2</v>
      </c>
      <c r="O31" s="86">
        <v>1.5682768756994453E-2</v>
      </c>
      <c r="P31" s="86">
        <v>1.2742629602323984E-2</v>
      </c>
      <c r="Q31" s="86">
        <v>1.6253907606285298E-2</v>
      </c>
      <c r="R31" s="86">
        <v>0.05</v>
      </c>
      <c r="S31" s="86">
        <v>1.248757900180854E-2</v>
      </c>
      <c r="T31" s="86">
        <v>1.1364529583311453E-2</v>
      </c>
      <c r="U31" s="86">
        <v>1.0614791657060882E-2</v>
      </c>
      <c r="V31" s="86">
        <v>1.4536253307494246E-2</v>
      </c>
      <c r="W31" s="86">
        <v>1.422293005160973E-2</v>
      </c>
      <c r="X31" s="86">
        <v>0.05</v>
      </c>
      <c r="Y31" s="86">
        <v>0.01</v>
      </c>
      <c r="Z31" s="86">
        <v>0.01</v>
      </c>
      <c r="AA31" s="86">
        <v>0.01</v>
      </c>
      <c r="AB31" s="86">
        <v>0.01</v>
      </c>
      <c r="AC31" s="86">
        <v>0.01</v>
      </c>
      <c r="AD31" s="86">
        <v>1.625619063961635E-2</v>
      </c>
    </row>
    <row r="32" spans="1:30" x14ac:dyDescent="0.2">
      <c r="A32" s="83" t="s">
        <v>81</v>
      </c>
      <c r="B32" s="92" t="s">
        <v>261</v>
      </c>
      <c r="C32" s="83">
        <v>15</v>
      </c>
      <c r="D32" s="85">
        <f t="shared" si="0"/>
        <v>0.29374153564474237</v>
      </c>
      <c r="E32" s="86">
        <v>0</v>
      </c>
      <c r="F32" s="86">
        <v>7.831704002635681E-2</v>
      </c>
      <c r="G32" s="86">
        <v>0.15032221696940878</v>
      </c>
      <c r="H32" s="86">
        <v>6.5102278648976775E-2</v>
      </c>
      <c r="I32" s="86">
        <v>3.8664008832538226E-2</v>
      </c>
      <c r="J32" s="86">
        <v>2.3898075679371345E-2</v>
      </c>
      <c r="K32" s="86">
        <v>2.5401941370672056E-3</v>
      </c>
      <c r="L32" s="86">
        <v>0</v>
      </c>
      <c r="M32" s="86">
        <v>0</v>
      </c>
      <c r="N32" s="86">
        <v>2.3168889872076194E-2</v>
      </c>
      <c r="O32" s="86">
        <v>1.6480261442920769E-2</v>
      </c>
      <c r="P32" s="86">
        <v>6.1632683506537399E-3</v>
      </c>
      <c r="Q32" s="86">
        <v>1.2120810581596522E-2</v>
      </c>
      <c r="R32" s="86">
        <v>0</v>
      </c>
      <c r="S32" s="86">
        <v>2.0383809779109582E-2</v>
      </c>
      <c r="T32" s="86">
        <v>2.2425078056873687E-2</v>
      </c>
      <c r="U32" s="86">
        <v>1.2645899969222231E-2</v>
      </c>
      <c r="V32" s="86">
        <v>7.1452398985144775E-3</v>
      </c>
      <c r="W32" s="86">
        <v>7.2040550371345411E-3</v>
      </c>
      <c r="X32" s="86">
        <v>0.05</v>
      </c>
      <c r="Y32" s="86">
        <v>0</v>
      </c>
      <c r="Z32" s="86">
        <v>0.01</v>
      </c>
      <c r="AA32" s="86">
        <v>0.01</v>
      </c>
      <c r="AB32" s="86">
        <v>0.01</v>
      </c>
      <c r="AC32" s="86">
        <v>0.01</v>
      </c>
      <c r="AD32" s="86">
        <v>1.0901944007663842E-2</v>
      </c>
    </row>
    <row r="33" spans="1:30" x14ac:dyDescent="0.2">
      <c r="A33" s="83" t="s">
        <v>82</v>
      </c>
      <c r="B33" s="92" t="s">
        <v>262</v>
      </c>
      <c r="C33" s="83">
        <v>28</v>
      </c>
      <c r="D33" s="85">
        <f t="shared" si="0"/>
        <v>0.22522726589614309</v>
      </c>
      <c r="E33" s="86">
        <v>0</v>
      </c>
      <c r="F33" s="86">
        <v>9.9607702044604535E-2</v>
      </c>
      <c r="G33" s="86">
        <v>0.12322766027706548</v>
      </c>
      <c r="H33" s="86">
        <v>2.391903574473094E-3</v>
      </c>
      <c r="I33" s="86">
        <v>0</v>
      </c>
      <c r="J33" s="86">
        <v>0</v>
      </c>
      <c r="K33" s="86">
        <v>2.391903574473094E-3</v>
      </c>
      <c r="L33" s="86">
        <v>0</v>
      </c>
      <c r="M33" s="86">
        <v>0</v>
      </c>
      <c r="N33" s="86">
        <v>1.081035459097599E-2</v>
      </c>
      <c r="O33" s="86">
        <v>1.83351937764605E-2</v>
      </c>
      <c r="P33" s="86">
        <v>6.8700176771152744E-3</v>
      </c>
      <c r="Q33" s="86">
        <v>0</v>
      </c>
      <c r="R33" s="86">
        <v>0.05</v>
      </c>
      <c r="S33" s="86">
        <v>1.3592136000052763E-2</v>
      </c>
      <c r="T33" s="86">
        <v>7.968050167567289E-3</v>
      </c>
      <c r="U33" s="86">
        <v>1.2690848258563647E-2</v>
      </c>
      <c r="V33" s="86">
        <v>9.8337315564711418E-3</v>
      </c>
      <c r="W33" s="86">
        <v>0</v>
      </c>
      <c r="X33" s="86">
        <v>0.05</v>
      </c>
      <c r="Y33" s="86">
        <v>0.01</v>
      </c>
      <c r="Z33" s="86">
        <v>0.01</v>
      </c>
      <c r="AA33" s="86">
        <v>0</v>
      </c>
      <c r="AB33" s="86">
        <v>0</v>
      </c>
      <c r="AC33" s="86">
        <v>0</v>
      </c>
      <c r="AD33" s="86">
        <v>2.2735030294463412E-2</v>
      </c>
    </row>
    <row r="34" spans="1:30" x14ac:dyDescent="0.2">
      <c r="A34" s="83" t="s">
        <v>85</v>
      </c>
      <c r="B34" s="92" t="s">
        <v>263</v>
      </c>
      <c r="C34" s="83">
        <v>30</v>
      </c>
      <c r="D34" s="85">
        <f t="shared" si="0"/>
        <v>0.20672040226576316</v>
      </c>
      <c r="E34" s="86">
        <v>0</v>
      </c>
      <c r="F34" s="86">
        <v>0.10452573061301841</v>
      </c>
      <c r="G34" s="86">
        <v>6.8351807429532743E-2</v>
      </c>
      <c r="H34" s="86">
        <v>3.3842864223212019E-2</v>
      </c>
      <c r="I34" s="86">
        <v>7.1653850191745793E-3</v>
      </c>
      <c r="J34" s="86">
        <v>2.6018786625288323E-2</v>
      </c>
      <c r="K34" s="86">
        <v>6.586925787491145E-4</v>
      </c>
      <c r="L34" s="86">
        <v>0</v>
      </c>
      <c r="M34" s="86">
        <v>0</v>
      </c>
      <c r="N34" s="86">
        <v>1.7575798863152803E-2</v>
      </c>
      <c r="O34" s="86">
        <v>1.5637590796978334E-2</v>
      </c>
      <c r="P34" s="86">
        <v>2.178173022850706E-3</v>
      </c>
      <c r="Q34" s="86">
        <v>1.5270908544467139E-2</v>
      </c>
      <c r="R34" s="86">
        <v>0.05</v>
      </c>
      <c r="S34" s="86">
        <v>3.8632593855694331E-3</v>
      </c>
      <c r="T34" s="86">
        <v>9.957926539120053E-3</v>
      </c>
      <c r="U34" s="86">
        <v>1.3671762636297335E-2</v>
      </c>
      <c r="V34" s="86">
        <v>0</v>
      </c>
      <c r="W34" s="86">
        <v>1.448643158968081E-2</v>
      </c>
      <c r="X34" s="86">
        <v>0</v>
      </c>
      <c r="Y34" s="86">
        <v>0</v>
      </c>
      <c r="Z34" s="86">
        <v>0.01</v>
      </c>
      <c r="AA34" s="86">
        <v>0</v>
      </c>
      <c r="AB34" s="86">
        <v>0.01</v>
      </c>
      <c r="AC34" s="86">
        <v>0</v>
      </c>
      <c r="AD34" s="86">
        <v>1.0235686664434538E-2</v>
      </c>
    </row>
    <row r="35" spans="1:30" x14ac:dyDescent="0.2">
      <c r="A35" s="76" t="s">
        <v>264</v>
      </c>
      <c r="B35" s="92" t="s">
        <v>265</v>
      </c>
      <c r="C35" s="83">
        <v>18</v>
      </c>
      <c r="D35" s="85">
        <f t="shared" si="0"/>
        <v>0.27677120602802247</v>
      </c>
      <c r="E35" s="86">
        <v>0</v>
      </c>
      <c r="F35" s="86">
        <v>0.11266356188929147</v>
      </c>
      <c r="G35" s="86">
        <v>9.7267219095404769E-2</v>
      </c>
      <c r="H35" s="86">
        <v>6.6840425043326199E-2</v>
      </c>
      <c r="I35" s="86">
        <v>8.8707254023324376E-3</v>
      </c>
      <c r="J35" s="86">
        <v>2.6770476005289638E-2</v>
      </c>
      <c r="K35" s="86">
        <v>1.1992236357041292E-3</v>
      </c>
      <c r="L35" s="86">
        <v>0.03</v>
      </c>
      <c r="M35" s="86">
        <v>0</v>
      </c>
      <c r="N35" s="86">
        <v>9.4587235254129064E-3</v>
      </c>
      <c r="O35" s="86">
        <v>1.6588181619868962E-2</v>
      </c>
      <c r="P35" s="86">
        <v>1.569382402848998E-2</v>
      </c>
      <c r="Q35" s="86">
        <v>1.4586523199323534E-2</v>
      </c>
      <c r="R35" s="86">
        <v>0.05</v>
      </c>
      <c r="S35" s="86">
        <v>6.3363095161960807E-3</v>
      </c>
      <c r="T35" s="86">
        <v>0</v>
      </c>
      <c r="U35" s="86">
        <v>1.2441568329339896E-2</v>
      </c>
      <c r="V35" s="86">
        <v>1.225715598808156E-2</v>
      </c>
      <c r="W35" s="86">
        <v>1.2404292792272394E-2</v>
      </c>
      <c r="X35" s="86">
        <v>0.05</v>
      </c>
      <c r="Y35" s="86">
        <v>0</v>
      </c>
      <c r="Z35" s="86">
        <v>0</v>
      </c>
      <c r="AA35" s="86">
        <v>0</v>
      </c>
      <c r="AB35" s="86">
        <v>0</v>
      </c>
      <c r="AC35" s="86">
        <v>0</v>
      </c>
      <c r="AD35" s="86">
        <v>1.0164201985710917E-2</v>
      </c>
    </row>
    <row r="36" spans="1:30" x14ac:dyDescent="0.2">
      <c r="A36" s="83" t="s">
        <v>87</v>
      </c>
      <c r="B36" s="92" t="s">
        <v>266</v>
      </c>
      <c r="C36" s="83">
        <v>19</v>
      </c>
      <c r="D36" s="85">
        <f t="shared" si="0"/>
        <v>0.26847011941830584</v>
      </c>
      <c r="E36" s="86">
        <v>0</v>
      </c>
      <c r="F36" s="86">
        <v>6.8804807425503683E-2</v>
      </c>
      <c r="G36" s="86">
        <v>0.14231888913735513</v>
      </c>
      <c r="H36" s="86">
        <v>5.7346422855447048E-2</v>
      </c>
      <c r="I36" s="86">
        <v>3.0961591157643728E-2</v>
      </c>
      <c r="J36" s="86">
        <v>2.4975781260395395E-2</v>
      </c>
      <c r="K36" s="86">
        <v>1.4090504374079257E-3</v>
      </c>
      <c r="L36" s="86">
        <v>0</v>
      </c>
      <c r="M36" s="86">
        <v>0</v>
      </c>
      <c r="N36" s="86">
        <v>1.0356699768845703E-2</v>
      </c>
      <c r="O36" s="86">
        <v>1.8072746182277371E-2</v>
      </c>
      <c r="P36" s="86">
        <v>4.8346781991791899E-3</v>
      </c>
      <c r="Q36" s="86">
        <v>2.1303447482126557E-2</v>
      </c>
      <c r="R36" s="86">
        <v>0</v>
      </c>
      <c r="S36" s="86">
        <v>1.4237235793074865E-2</v>
      </c>
      <c r="T36" s="86">
        <v>2.8483157248846036E-2</v>
      </c>
      <c r="U36" s="86">
        <v>9.6908365420512125E-3</v>
      </c>
      <c r="V36" s="86">
        <v>1.8118926900698455E-3</v>
      </c>
      <c r="W36" s="86">
        <v>7.0545647929158945E-3</v>
      </c>
      <c r="X36" s="86">
        <v>0.05</v>
      </c>
      <c r="Y36" s="86">
        <v>0</v>
      </c>
      <c r="Z36" s="86">
        <v>0.01</v>
      </c>
      <c r="AA36" s="86">
        <v>0.01</v>
      </c>
      <c r="AB36" s="86">
        <v>0.01</v>
      </c>
      <c r="AC36" s="86">
        <v>0.01</v>
      </c>
      <c r="AD36" s="86">
        <v>5.278437863472144E-3</v>
      </c>
    </row>
    <row r="37" spans="1:30" x14ac:dyDescent="0.2">
      <c r="A37" s="83" t="s">
        <v>88</v>
      </c>
      <c r="B37" s="92" t="s">
        <v>267</v>
      </c>
      <c r="C37" s="83">
        <v>16</v>
      </c>
      <c r="D37" s="85">
        <f t="shared" si="0"/>
        <v>0.28895762294200611</v>
      </c>
      <c r="E37" s="86">
        <v>0</v>
      </c>
      <c r="F37" s="86">
        <v>8.7033127832718424E-2</v>
      </c>
      <c r="G37" s="86">
        <v>0.14450823474299598</v>
      </c>
      <c r="H37" s="86">
        <v>5.7416260366291709E-2</v>
      </c>
      <c r="I37" s="86">
        <v>3.3836425357379886E-2</v>
      </c>
      <c r="J37" s="86">
        <v>2.1029275482595974E-2</v>
      </c>
      <c r="K37" s="86">
        <v>2.5505595263158542E-3</v>
      </c>
      <c r="L37" s="86">
        <v>0</v>
      </c>
      <c r="M37" s="86">
        <v>0</v>
      </c>
      <c r="N37" s="86">
        <v>2.8516431513875177E-2</v>
      </c>
      <c r="O37" s="86">
        <v>1.6093433538958275E-2</v>
      </c>
      <c r="P37" s="86">
        <v>3.6161198636260735E-3</v>
      </c>
      <c r="Q37" s="86">
        <v>1.611382100893825E-2</v>
      </c>
      <c r="R37" s="86">
        <v>0</v>
      </c>
      <c r="S37" s="86">
        <v>2.2693321907320655E-2</v>
      </c>
      <c r="T37" s="86">
        <v>1.9667687732046229E-2</v>
      </c>
      <c r="U37" s="86">
        <v>1.2209767917682357E-2</v>
      </c>
      <c r="V37" s="86">
        <v>4.0891346894450856E-3</v>
      </c>
      <c r="W37" s="86">
        <v>1.1866782429747421E-2</v>
      </c>
      <c r="X37" s="86">
        <v>0.05</v>
      </c>
      <c r="Y37" s="86">
        <v>0</v>
      </c>
      <c r="Z37" s="86">
        <v>0.01</v>
      </c>
      <c r="AA37" s="86">
        <v>0</v>
      </c>
      <c r="AB37" s="86">
        <v>0.01</v>
      </c>
      <c r="AC37" s="86">
        <v>0.01</v>
      </c>
      <c r="AD37" s="86">
        <v>1.6674861974074879E-2</v>
      </c>
    </row>
    <row r="38" spans="1:30" x14ac:dyDescent="0.2">
      <c r="B38" s="44"/>
      <c r="C38" s="44"/>
      <c r="D38" s="44"/>
      <c r="F38" s="44"/>
      <c r="G38" s="44"/>
      <c r="H38" s="44"/>
    </row>
  </sheetData>
  <mergeCells count="5">
    <mergeCell ref="E1:H1"/>
    <mergeCell ref="N1:S1"/>
    <mergeCell ref="I1:L1"/>
    <mergeCell ref="T1:AD1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Categorías</vt:lpstr>
      <vt:lpstr>Org Coord</vt:lpstr>
      <vt:lpstr>Poder Judicial</vt:lpstr>
      <vt:lpstr>Fiscalía</vt:lpstr>
      <vt:lpstr>Def Pub</vt:lpstr>
      <vt:lpstr>Agregado</vt:lpstr>
      <vt:lpstr>Base de datos agregada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Labougle, Diego</dc:creator>
  <cp:lastModifiedBy>Campuzano Gomez, Valeria</cp:lastModifiedBy>
  <dcterms:created xsi:type="dcterms:W3CDTF">2025-09-02T22:35:46Z</dcterms:created>
  <dcterms:modified xsi:type="dcterms:W3CDTF">2025-10-07T17:48:59Z</dcterms:modified>
</cp:coreProperties>
</file>